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\重要文件\Desktop\"/>
    </mc:Choice>
  </mc:AlternateContent>
  <xr:revisionPtr revIDLastSave="0" documentId="8_{2A345F17-ED02-49D1-8173-D606CD42B2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获奖信息" sheetId="1" r:id="rId1"/>
    <sheet name="Sheet1" sheetId="17" r:id="rId2"/>
    <sheet name="人员信息" sheetId="16" r:id="rId3"/>
    <sheet name="DataDetails" sheetId="15" r:id="rId4"/>
    <sheet name="待评估" sheetId="14" r:id="rId5"/>
    <sheet name="person" sheetId="9" r:id="rId6"/>
    <sheet name="section" sheetId="10" r:id="rId7"/>
    <sheet name="积分标准" sheetId="3" r:id="rId8"/>
    <sheet name="规则说明" sheetId="2" r:id="rId9"/>
    <sheet name="personV1" sheetId="12" r:id="rId10"/>
    <sheet name="sectionV1" sheetId="11" r:id="rId11"/>
  </sheets>
  <externalReferences>
    <externalReference r:id="rId12"/>
  </externalReferenc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8" i="1" l="1" a="1"/>
  <c r="I178" i="1" s="1"/>
  <c r="O178" i="1" s="1"/>
  <c r="I171" i="1" a="1"/>
  <c r="I171" i="1" s="1"/>
  <c r="O171" i="1" s="1"/>
  <c r="I172" i="1" a="1"/>
  <c r="I172" i="1" s="1"/>
  <c r="O172" i="1" s="1"/>
  <c r="I173" i="1" a="1"/>
  <c r="I173" i="1" s="1"/>
  <c r="O173" i="1" s="1"/>
  <c r="I174" i="1" a="1"/>
  <c r="I174" i="1" s="1"/>
  <c r="O174" i="1" s="1"/>
  <c r="I175" i="1" a="1"/>
  <c r="I175" i="1" s="1"/>
  <c r="O175" i="1" s="1"/>
  <c r="I176" i="1" a="1"/>
  <c r="I176" i="1" s="1"/>
  <c r="O176" i="1" s="1"/>
  <c r="I177" i="1" a="1"/>
  <c r="I177" i="1" s="1"/>
  <c r="O177" i="1" s="1"/>
  <c r="O164" i="1"/>
  <c r="O165" i="1"/>
  <c r="O166" i="1"/>
  <c r="O167" i="1"/>
  <c r="O168" i="1"/>
  <c r="O169" i="1"/>
  <c r="O170" i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63" i="1" a="1"/>
  <c r="I163" i="1" s="1"/>
  <c r="O163" i="1" s="1"/>
  <c r="I162" i="1" a="1"/>
  <c r="I162" i="1" s="1"/>
  <c r="O162" i="1" s="1"/>
  <c r="I161" i="1" a="1"/>
  <c r="I161" i="1" s="1"/>
  <c r="O161" i="1" s="1"/>
  <c r="I160" i="1" a="1"/>
  <c r="I160" i="1" s="1"/>
  <c r="O160" i="1" s="1"/>
  <c r="I159" i="1" a="1"/>
  <c r="I159" i="1" s="1"/>
  <c r="O159" i="1" s="1"/>
  <c r="I158" i="1" a="1"/>
  <c r="I158" i="1" s="1"/>
  <c r="O158" i="1" s="1"/>
  <c r="I157" i="1" a="1"/>
  <c r="I157" i="1" s="1"/>
  <c r="O157" i="1" s="1"/>
  <c r="I156" i="1" a="1"/>
  <c r="I156" i="1" s="1"/>
  <c r="O156" i="1" s="1"/>
  <c r="I155" i="1" a="1"/>
  <c r="I155" i="1" s="1"/>
  <c r="O155" i="1" s="1"/>
  <c r="I154" i="1" a="1"/>
  <c r="I154" i="1" s="1"/>
  <c r="O154" i="1" s="1"/>
  <c r="I153" i="1" a="1"/>
  <c r="I153" i="1" s="1"/>
  <c r="O153" i="1" s="1"/>
  <c r="I152" i="1" a="1"/>
  <c r="I152" i="1" s="1"/>
  <c r="O152" i="1" s="1"/>
  <c r="I151" i="1" a="1"/>
  <c r="I151" i="1" s="1"/>
  <c r="O151" i="1" s="1"/>
  <c r="I150" i="1" a="1"/>
  <c r="I150" i="1" s="1"/>
  <c r="O150" i="1" s="1"/>
  <c r="I149" i="1" a="1"/>
  <c r="I149" i="1" s="1"/>
  <c r="O149" i="1" s="1"/>
  <c r="I148" i="1" a="1"/>
  <c r="I148" i="1" s="1"/>
  <c r="O148" i="1" s="1"/>
  <c r="I147" i="1" a="1"/>
  <c r="I147" i="1" s="1"/>
  <c r="O147" i="1" s="1"/>
  <c r="I146" i="1" a="1"/>
  <c r="I146" i="1" s="1"/>
  <c r="O146" i="1" s="1"/>
  <c r="I145" i="1" a="1"/>
  <c r="I145" i="1" s="1"/>
  <c r="O145" i="1" s="1"/>
  <c r="I144" i="1" a="1"/>
  <c r="I144" i="1" s="1"/>
  <c r="O144" i="1" s="1"/>
  <c r="I143" i="1" a="1"/>
  <c r="I143" i="1" s="1"/>
  <c r="O143" i="1" s="1"/>
  <c r="I142" i="1" a="1"/>
  <c r="I142" i="1" s="1"/>
  <c r="O142" i="1" s="1"/>
  <c r="I134" i="1" a="1"/>
  <c r="I134" i="1" s="1"/>
  <c r="I135" i="1" l="1" a="1"/>
  <c r="I135" i="1" s="1"/>
  <c r="O135" i="1" s="1"/>
  <c r="I136" i="1" a="1"/>
  <c r="I136" i="1" s="1"/>
  <c r="O136" i="1" s="1"/>
  <c r="I137" i="1" a="1"/>
  <c r="I137" i="1" s="1"/>
  <c r="O137" i="1" s="1"/>
  <c r="I138" i="1" a="1"/>
  <c r="I138" i="1" s="1"/>
  <c r="O138" i="1" s="1"/>
  <c r="I139" i="1" a="1"/>
  <c r="I139" i="1" s="1"/>
  <c r="O139" i="1" s="1"/>
  <c r="I140" i="1" a="1"/>
  <c r="I140" i="1" s="1"/>
  <c r="O140" i="1" s="1"/>
  <c r="I141" i="1" a="1"/>
  <c r="I141" i="1" s="1"/>
  <c r="O141" i="1" s="1"/>
  <c r="I131" i="1" a="1"/>
  <c r="I131" i="1" s="1"/>
  <c r="O131" i="1" s="1"/>
  <c r="I132" i="1" a="1"/>
  <c r="I132" i="1" s="1"/>
  <c r="O132" i="1" s="1"/>
  <c r="I133" i="1" a="1"/>
  <c r="I133" i="1" s="1"/>
  <c r="O133" i="1" s="1"/>
  <c r="O134" i="1"/>
  <c r="I130" i="1" a="1"/>
  <c r="I130" i="1" s="1"/>
  <c r="O130" i="1" s="1"/>
  <c r="I128" i="1" l="1" a="1"/>
  <c r="I128" i="1" s="1"/>
  <c r="O128" i="1" s="1"/>
  <c r="I129" i="1" a="1"/>
  <c r="I129" i="1" s="1"/>
  <c r="O129" i="1" s="1"/>
  <c r="I119" i="1" l="1" a="1"/>
  <c r="I119" i="1" s="1"/>
  <c r="O119" i="1" s="1"/>
  <c r="I120" i="1" a="1"/>
  <c r="I120" i="1" s="1"/>
  <c r="O120" i="1" s="1"/>
  <c r="I121" i="1" a="1"/>
  <c r="I121" i="1" s="1"/>
  <c r="O121" i="1" s="1"/>
  <c r="I122" i="1" a="1"/>
  <c r="I122" i="1" s="1"/>
  <c r="O122" i="1" s="1"/>
  <c r="I123" i="1" a="1"/>
  <c r="I123" i="1" s="1"/>
  <c r="O123" i="1" s="1"/>
  <c r="I124" i="1" a="1"/>
  <c r="I124" i="1" s="1"/>
  <c r="O124" i="1" s="1"/>
  <c r="I125" i="1" a="1"/>
  <c r="I125" i="1" s="1"/>
  <c r="O125" i="1" s="1"/>
  <c r="I126" i="1" a="1"/>
  <c r="I126" i="1" s="1"/>
  <c r="O126" i="1" s="1"/>
  <c r="I127" i="1" a="1"/>
  <c r="I127" i="1" s="1"/>
  <c r="O127" i="1" s="1"/>
  <c r="I110" i="1" a="1"/>
  <c r="I110" i="1" s="1"/>
  <c r="O110" i="1" s="1"/>
  <c r="I111" i="1" a="1"/>
  <c r="I111" i="1" s="1"/>
  <c r="O111" i="1" s="1"/>
  <c r="I112" i="1" a="1"/>
  <c r="I112" i="1" s="1"/>
  <c r="O112" i="1" s="1"/>
  <c r="I113" i="1" a="1"/>
  <c r="I113" i="1" s="1"/>
  <c r="O113" i="1" s="1"/>
  <c r="I114" i="1" a="1"/>
  <c r="I114" i="1" s="1"/>
  <c r="O114" i="1" s="1"/>
  <c r="I115" i="1" a="1"/>
  <c r="I115" i="1" s="1"/>
  <c r="O115" i="1" s="1"/>
  <c r="I116" i="1" a="1"/>
  <c r="I116" i="1" s="1"/>
  <c r="O116" i="1" s="1"/>
  <c r="I117" i="1" a="1"/>
  <c r="I117" i="1" s="1"/>
  <c r="O117" i="1" s="1"/>
  <c r="I118" i="1" a="1"/>
  <c r="I118" i="1" s="1"/>
  <c r="O118" i="1" s="1"/>
  <c r="I109" i="1" l="1" a="1"/>
  <c r="I109" i="1" s="1"/>
  <c r="O109" i="1" s="1"/>
  <c r="I100" i="1" a="1"/>
  <c r="I100" i="1" s="1"/>
  <c r="O100" i="1" s="1"/>
  <c r="I101" i="1" a="1"/>
  <c r="I101" i="1" s="1"/>
  <c r="O101" i="1" s="1"/>
  <c r="I102" i="1" a="1"/>
  <c r="I102" i="1" s="1"/>
  <c r="O102" i="1" s="1"/>
  <c r="I103" i="1" a="1"/>
  <c r="I103" i="1" s="1"/>
  <c r="O103" i="1" s="1"/>
  <c r="I104" i="1" a="1"/>
  <c r="I104" i="1" s="1"/>
  <c r="O104" i="1" s="1"/>
  <c r="I105" i="1" a="1"/>
  <c r="I105" i="1" s="1"/>
  <c r="O105" i="1" s="1"/>
  <c r="I106" i="1" a="1"/>
  <c r="I106" i="1" s="1"/>
  <c r="O106" i="1" s="1"/>
  <c r="I107" i="1" a="1"/>
  <c r="I107" i="1" s="1"/>
  <c r="O107" i="1" s="1"/>
  <c r="I108" i="1" a="1"/>
  <c r="I108" i="1" s="1"/>
  <c r="O108" i="1" s="1"/>
  <c r="I70" i="1" a="1"/>
  <c r="I70" i="1" s="1"/>
  <c r="O70" i="1" s="1"/>
  <c r="I66" i="1" a="1"/>
  <c r="I66" i="1" s="1"/>
  <c r="O66" i="1" s="1"/>
  <c r="I67" i="1" a="1"/>
  <c r="I67" i="1" s="1"/>
  <c r="O67" i="1" s="1"/>
  <c r="I65" i="1" a="1"/>
  <c r="I65" i="1" s="1"/>
  <c r="O65" i="1" s="1"/>
  <c r="I64" i="1" a="1"/>
  <c r="I64" i="1" s="1"/>
  <c r="O64" i="1" s="1"/>
  <c r="I63" i="1" a="1"/>
  <c r="I63" i="1" s="1"/>
  <c r="O63" i="1" s="1"/>
  <c r="I62" i="1" a="1"/>
  <c r="I62" i="1" s="1"/>
  <c r="O62" i="1" s="1"/>
  <c r="I61" i="1" a="1"/>
  <c r="I61" i="1" s="1"/>
  <c r="O61" i="1" s="1"/>
  <c r="I60" i="1" a="1"/>
  <c r="I60" i="1" s="1"/>
  <c r="O60" i="1" s="1"/>
  <c r="I59" i="1" a="1"/>
  <c r="I59" i="1" s="1"/>
  <c r="O59" i="1" s="1"/>
  <c r="I58" i="1" a="1"/>
  <c r="I58" i="1" s="1"/>
  <c r="O58" i="1" s="1"/>
  <c r="I57" i="1" a="1"/>
  <c r="I57" i="1" s="1"/>
  <c r="O57" i="1" s="1"/>
  <c r="I56" i="1" a="1"/>
  <c r="I56" i="1" s="1"/>
  <c r="O56" i="1" s="1"/>
  <c r="I55" i="1" a="1"/>
  <c r="I55" i="1" s="1"/>
  <c r="O55" i="1" s="1"/>
  <c r="I54" i="1" a="1"/>
  <c r="I54" i="1" s="1"/>
  <c r="O54" i="1" s="1"/>
  <c r="I53" i="1" a="1"/>
  <c r="I53" i="1" s="1"/>
  <c r="O53" i="1" s="1"/>
  <c r="I52" i="1" a="1"/>
  <c r="I52" i="1" s="1"/>
  <c r="O52" i="1" s="1"/>
  <c r="A3" i="15" l="1"/>
  <c r="B3" i="15"/>
  <c r="C3" i="15"/>
  <c r="D3" i="15"/>
  <c r="E3" i="15"/>
  <c r="F3" i="15"/>
  <c r="G3" i="15"/>
  <c r="H3" i="15"/>
  <c r="J3" i="15"/>
  <c r="K3" i="15"/>
  <c r="L3" i="15"/>
  <c r="M3" i="15"/>
  <c r="N3" i="15"/>
  <c r="A4" i="15"/>
  <c r="B4" i="15"/>
  <c r="C4" i="15"/>
  <c r="D4" i="15"/>
  <c r="E4" i="15"/>
  <c r="F4" i="15"/>
  <c r="G4" i="15"/>
  <c r="H4" i="15"/>
  <c r="J4" i="15"/>
  <c r="K4" i="15"/>
  <c r="L4" i="15"/>
  <c r="M4" i="15"/>
  <c r="N4" i="15"/>
  <c r="A5" i="15"/>
  <c r="B5" i="15"/>
  <c r="C5" i="15"/>
  <c r="D5" i="15"/>
  <c r="E5" i="15"/>
  <c r="F5" i="15"/>
  <c r="G5" i="15"/>
  <c r="H5" i="15"/>
  <c r="J5" i="15"/>
  <c r="K5" i="15"/>
  <c r="L5" i="15"/>
  <c r="M5" i="15"/>
  <c r="N5" i="15"/>
  <c r="A6" i="15"/>
  <c r="B6" i="15"/>
  <c r="C6" i="15"/>
  <c r="D6" i="15"/>
  <c r="E6" i="15"/>
  <c r="F6" i="15"/>
  <c r="G6" i="15"/>
  <c r="H6" i="15"/>
  <c r="J6" i="15"/>
  <c r="K6" i="15"/>
  <c r="L6" i="15"/>
  <c r="M6" i="15"/>
  <c r="N6" i="15"/>
  <c r="A7" i="15"/>
  <c r="B7" i="15"/>
  <c r="C7" i="15"/>
  <c r="D7" i="15"/>
  <c r="E7" i="15"/>
  <c r="F7" i="15"/>
  <c r="G7" i="15"/>
  <c r="H7" i="15"/>
  <c r="J7" i="15"/>
  <c r="K7" i="15"/>
  <c r="L7" i="15"/>
  <c r="M7" i="15"/>
  <c r="N7" i="15"/>
  <c r="A8" i="15"/>
  <c r="B8" i="15"/>
  <c r="C8" i="15"/>
  <c r="D8" i="15"/>
  <c r="E8" i="15"/>
  <c r="F8" i="15"/>
  <c r="G8" i="15"/>
  <c r="H8" i="15"/>
  <c r="J8" i="15"/>
  <c r="K8" i="15"/>
  <c r="L8" i="15"/>
  <c r="M8" i="15"/>
  <c r="N8" i="15"/>
  <c r="A9" i="15"/>
  <c r="B9" i="15"/>
  <c r="C9" i="15"/>
  <c r="D9" i="15"/>
  <c r="E9" i="15"/>
  <c r="F9" i="15"/>
  <c r="G9" i="15"/>
  <c r="H9" i="15"/>
  <c r="J9" i="15"/>
  <c r="K9" i="15"/>
  <c r="L9" i="15"/>
  <c r="M9" i="15"/>
  <c r="N9" i="15"/>
  <c r="A10" i="15"/>
  <c r="B10" i="15"/>
  <c r="C10" i="15"/>
  <c r="D10" i="15"/>
  <c r="E10" i="15"/>
  <c r="F10" i="15"/>
  <c r="G10" i="15"/>
  <c r="H10" i="15"/>
  <c r="J10" i="15"/>
  <c r="K10" i="15"/>
  <c r="L10" i="15"/>
  <c r="M10" i="15"/>
  <c r="N10" i="15"/>
  <c r="A11" i="15"/>
  <c r="B11" i="15"/>
  <c r="C11" i="15"/>
  <c r="D11" i="15"/>
  <c r="E11" i="15"/>
  <c r="F11" i="15"/>
  <c r="G11" i="15"/>
  <c r="H11" i="15"/>
  <c r="J11" i="15"/>
  <c r="K11" i="15"/>
  <c r="L11" i="15"/>
  <c r="M11" i="15"/>
  <c r="N11" i="15"/>
  <c r="A12" i="15"/>
  <c r="B12" i="15"/>
  <c r="C12" i="15"/>
  <c r="D12" i="15"/>
  <c r="E12" i="15"/>
  <c r="F12" i="15"/>
  <c r="G12" i="15"/>
  <c r="H12" i="15"/>
  <c r="J12" i="15"/>
  <c r="K12" i="15"/>
  <c r="L12" i="15"/>
  <c r="M12" i="15"/>
  <c r="N12" i="15"/>
  <c r="A13" i="15"/>
  <c r="B13" i="15"/>
  <c r="C13" i="15"/>
  <c r="D13" i="15"/>
  <c r="E13" i="15"/>
  <c r="F13" i="15"/>
  <c r="G13" i="15"/>
  <c r="H13" i="15"/>
  <c r="J13" i="15"/>
  <c r="K13" i="15"/>
  <c r="L13" i="15"/>
  <c r="M13" i="15"/>
  <c r="N13" i="15"/>
  <c r="A14" i="15"/>
  <c r="B14" i="15"/>
  <c r="C14" i="15"/>
  <c r="D14" i="15"/>
  <c r="E14" i="15"/>
  <c r="F14" i="15"/>
  <c r="G14" i="15"/>
  <c r="H14" i="15"/>
  <c r="J14" i="15"/>
  <c r="K14" i="15"/>
  <c r="L14" i="15"/>
  <c r="M14" i="15"/>
  <c r="N14" i="15"/>
  <c r="A15" i="15"/>
  <c r="B15" i="15"/>
  <c r="C15" i="15"/>
  <c r="D15" i="15"/>
  <c r="E15" i="15"/>
  <c r="F15" i="15"/>
  <c r="G15" i="15"/>
  <c r="H15" i="15"/>
  <c r="J15" i="15"/>
  <c r="K15" i="15"/>
  <c r="L15" i="15"/>
  <c r="M15" i="15"/>
  <c r="N15" i="15"/>
  <c r="A16" i="15"/>
  <c r="B16" i="15"/>
  <c r="C16" i="15"/>
  <c r="D16" i="15"/>
  <c r="E16" i="15"/>
  <c r="F16" i="15"/>
  <c r="G16" i="15"/>
  <c r="H16" i="15"/>
  <c r="J16" i="15"/>
  <c r="K16" i="15"/>
  <c r="L16" i="15"/>
  <c r="M16" i="15"/>
  <c r="N16" i="15"/>
  <c r="A17" i="15"/>
  <c r="B17" i="15"/>
  <c r="C17" i="15"/>
  <c r="D17" i="15"/>
  <c r="E17" i="15"/>
  <c r="F17" i="15"/>
  <c r="G17" i="15"/>
  <c r="H17" i="15"/>
  <c r="J17" i="15"/>
  <c r="K17" i="15"/>
  <c r="L17" i="15"/>
  <c r="M17" i="15"/>
  <c r="N17" i="15"/>
  <c r="A18" i="15"/>
  <c r="B18" i="15"/>
  <c r="C18" i="15"/>
  <c r="D18" i="15"/>
  <c r="E18" i="15"/>
  <c r="F18" i="15"/>
  <c r="G18" i="15"/>
  <c r="H18" i="15"/>
  <c r="J18" i="15"/>
  <c r="K18" i="15"/>
  <c r="L18" i="15"/>
  <c r="M18" i="15"/>
  <c r="N18" i="15"/>
  <c r="A19" i="15"/>
  <c r="B19" i="15"/>
  <c r="C19" i="15"/>
  <c r="D19" i="15"/>
  <c r="E19" i="15"/>
  <c r="F19" i="15"/>
  <c r="G19" i="15"/>
  <c r="H19" i="15"/>
  <c r="J19" i="15"/>
  <c r="K19" i="15"/>
  <c r="L19" i="15"/>
  <c r="M19" i="15"/>
  <c r="N19" i="15"/>
  <c r="A20" i="15"/>
  <c r="B20" i="15"/>
  <c r="C20" i="15"/>
  <c r="D20" i="15"/>
  <c r="E20" i="15"/>
  <c r="F20" i="15"/>
  <c r="G20" i="15"/>
  <c r="H20" i="15"/>
  <c r="J20" i="15"/>
  <c r="K20" i="15"/>
  <c r="L20" i="15"/>
  <c r="M20" i="15"/>
  <c r="N20" i="15"/>
  <c r="A21" i="15"/>
  <c r="B21" i="15"/>
  <c r="C21" i="15"/>
  <c r="D21" i="15"/>
  <c r="E21" i="15"/>
  <c r="F21" i="15"/>
  <c r="G21" i="15"/>
  <c r="H21" i="15"/>
  <c r="J21" i="15"/>
  <c r="K21" i="15"/>
  <c r="L21" i="15"/>
  <c r="M21" i="15"/>
  <c r="N21" i="15"/>
  <c r="A22" i="15"/>
  <c r="B22" i="15"/>
  <c r="C22" i="15"/>
  <c r="D22" i="15"/>
  <c r="E22" i="15"/>
  <c r="F22" i="15"/>
  <c r="G22" i="15"/>
  <c r="H22" i="15"/>
  <c r="J22" i="15"/>
  <c r="K22" i="15"/>
  <c r="L22" i="15"/>
  <c r="M22" i="15"/>
  <c r="N22" i="15"/>
  <c r="A23" i="15"/>
  <c r="B23" i="15"/>
  <c r="C23" i="15"/>
  <c r="D23" i="15"/>
  <c r="E23" i="15"/>
  <c r="F23" i="15"/>
  <c r="G23" i="15"/>
  <c r="H23" i="15"/>
  <c r="J23" i="15"/>
  <c r="K23" i="15"/>
  <c r="L23" i="15"/>
  <c r="M23" i="15"/>
  <c r="N23" i="15"/>
  <c r="A24" i="15"/>
  <c r="B24" i="15"/>
  <c r="C24" i="15"/>
  <c r="D24" i="15"/>
  <c r="E24" i="15"/>
  <c r="F24" i="15"/>
  <c r="G24" i="15"/>
  <c r="H24" i="15"/>
  <c r="J24" i="15"/>
  <c r="K24" i="15"/>
  <c r="L24" i="15"/>
  <c r="M24" i="15"/>
  <c r="N24" i="15"/>
  <c r="A25" i="15"/>
  <c r="B25" i="15"/>
  <c r="C25" i="15"/>
  <c r="D25" i="15"/>
  <c r="E25" i="15"/>
  <c r="F25" i="15"/>
  <c r="G25" i="15"/>
  <c r="H25" i="15"/>
  <c r="J25" i="15"/>
  <c r="K25" i="15"/>
  <c r="L25" i="15"/>
  <c r="M25" i="15"/>
  <c r="N25" i="15"/>
  <c r="A26" i="15"/>
  <c r="B26" i="15"/>
  <c r="C26" i="15"/>
  <c r="D26" i="15"/>
  <c r="E26" i="15"/>
  <c r="F26" i="15"/>
  <c r="G26" i="15"/>
  <c r="H26" i="15"/>
  <c r="J26" i="15"/>
  <c r="K26" i="15"/>
  <c r="L26" i="15"/>
  <c r="M26" i="15"/>
  <c r="N26" i="15"/>
  <c r="A27" i="15"/>
  <c r="B27" i="15"/>
  <c r="C27" i="15"/>
  <c r="D27" i="15"/>
  <c r="E27" i="15"/>
  <c r="F27" i="15"/>
  <c r="G27" i="15"/>
  <c r="H27" i="15"/>
  <c r="J27" i="15"/>
  <c r="K27" i="15"/>
  <c r="L27" i="15"/>
  <c r="M27" i="15"/>
  <c r="N27" i="15"/>
  <c r="A28" i="15"/>
  <c r="B28" i="15"/>
  <c r="C28" i="15"/>
  <c r="D28" i="15"/>
  <c r="E28" i="15"/>
  <c r="F28" i="15"/>
  <c r="G28" i="15"/>
  <c r="H28" i="15"/>
  <c r="J28" i="15"/>
  <c r="K28" i="15"/>
  <c r="L28" i="15"/>
  <c r="M28" i="15"/>
  <c r="N28" i="15"/>
  <c r="A29" i="15"/>
  <c r="B29" i="15"/>
  <c r="C29" i="15"/>
  <c r="D29" i="15"/>
  <c r="E29" i="15"/>
  <c r="F29" i="15"/>
  <c r="G29" i="15"/>
  <c r="H29" i="15"/>
  <c r="J29" i="15"/>
  <c r="K29" i="15"/>
  <c r="L29" i="15"/>
  <c r="M29" i="15"/>
  <c r="N29" i="15"/>
  <c r="A30" i="15"/>
  <c r="B30" i="15"/>
  <c r="C30" i="15"/>
  <c r="D30" i="15"/>
  <c r="E30" i="15"/>
  <c r="F30" i="15"/>
  <c r="G30" i="15"/>
  <c r="H30" i="15"/>
  <c r="J30" i="15"/>
  <c r="K30" i="15"/>
  <c r="L30" i="15"/>
  <c r="M30" i="15"/>
  <c r="N30" i="15"/>
  <c r="A31" i="15"/>
  <c r="B31" i="15"/>
  <c r="C31" i="15"/>
  <c r="D31" i="15"/>
  <c r="E31" i="15"/>
  <c r="F31" i="15"/>
  <c r="G31" i="15"/>
  <c r="H31" i="15"/>
  <c r="J31" i="15"/>
  <c r="K31" i="15"/>
  <c r="L31" i="15"/>
  <c r="M31" i="15"/>
  <c r="N31" i="15"/>
  <c r="A32" i="15"/>
  <c r="B32" i="15"/>
  <c r="C32" i="15"/>
  <c r="D32" i="15"/>
  <c r="E32" i="15"/>
  <c r="F32" i="15"/>
  <c r="G32" i="15"/>
  <c r="H32" i="15"/>
  <c r="J32" i="15"/>
  <c r="K32" i="15"/>
  <c r="L32" i="15"/>
  <c r="M32" i="15"/>
  <c r="N32" i="15"/>
  <c r="A33" i="15"/>
  <c r="B33" i="15"/>
  <c r="C33" i="15"/>
  <c r="D33" i="15"/>
  <c r="E33" i="15"/>
  <c r="F33" i="15"/>
  <c r="G33" i="15"/>
  <c r="H33" i="15"/>
  <c r="J33" i="15"/>
  <c r="K33" i="15"/>
  <c r="L33" i="15"/>
  <c r="M33" i="15"/>
  <c r="N33" i="15"/>
  <c r="A34" i="15"/>
  <c r="B34" i="15"/>
  <c r="C34" i="15"/>
  <c r="D34" i="15"/>
  <c r="E34" i="15"/>
  <c r="F34" i="15"/>
  <c r="G34" i="15"/>
  <c r="H34" i="15"/>
  <c r="J34" i="15"/>
  <c r="K34" i="15"/>
  <c r="L34" i="15"/>
  <c r="M34" i="15"/>
  <c r="N34" i="15"/>
  <c r="A35" i="15"/>
  <c r="B35" i="15"/>
  <c r="C35" i="15"/>
  <c r="D35" i="15"/>
  <c r="E35" i="15"/>
  <c r="F35" i="15"/>
  <c r="G35" i="15"/>
  <c r="H35" i="15"/>
  <c r="J35" i="15"/>
  <c r="K35" i="15"/>
  <c r="L35" i="15"/>
  <c r="M35" i="15"/>
  <c r="N35" i="15"/>
  <c r="A36" i="15"/>
  <c r="B36" i="15"/>
  <c r="C36" i="15"/>
  <c r="D36" i="15"/>
  <c r="E36" i="15"/>
  <c r="F36" i="15"/>
  <c r="G36" i="15"/>
  <c r="H36" i="15"/>
  <c r="J36" i="15"/>
  <c r="K36" i="15"/>
  <c r="L36" i="15"/>
  <c r="M36" i="15"/>
  <c r="N36" i="15"/>
  <c r="A37" i="15"/>
  <c r="B37" i="15"/>
  <c r="C37" i="15"/>
  <c r="D37" i="15"/>
  <c r="E37" i="15"/>
  <c r="F37" i="15"/>
  <c r="G37" i="15"/>
  <c r="H37" i="15"/>
  <c r="J37" i="15"/>
  <c r="K37" i="15"/>
  <c r="L37" i="15"/>
  <c r="M37" i="15"/>
  <c r="N37" i="15"/>
  <c r="A38" i="15"/>
  <c r="B38" i="15"/>
  <c r="C38" i="15"/>
  <c r="D38" i="15"/>
  <c r="E38" i="15"/>
  <c r="F38" i="15"/>
  <c r="G38" i="15"/>
  <c r="H38" i="15"/>
  <c r="J38" i="15"/>
  <c r="K38" i="15"/>
  <c r="L38" i="15"/>
  <c r="M38" i="15"/>
  <c r="N38" i="15"/>
  <c r="A39" i="15"/>
  <c r="B39" i="15"/>
  <c r="C39" i="15"/>
  <c r="D39" i="15"/>
  <c r="E39" i="15"/>
  <c r="F39" i="15"/>
  <c r="G39" i="15"/>
  <c r="H39" i="15"/>
  <c r="J39" i="15"/>
  <c r="K39" i="15"/>
  <c r="L39" i="15"/>
  <c r="M39" i="15"/>
  <c r="N39" i="15"/>
  <c r="A40" i="15"/>
  <c r="B40" i="15"/>
  <c r="C40" i="15"/>
  <c r="D40" i="15"/>
  <c r="E40" i="15"/>
  <c r="F40" i="15"/>
  <c r="G40" i="15"/>
  <c r="H40" i="15"/>
  <c r="J40" i="15"/>
  <c r="K40" i="15"/>
  <c r="L40" i="15"/>
  <c r="M40" i="15"/>
  <c r="N40" i="15"/>
  <c r="A41" i="15"/>
  <c r="B41" i="15"/>
  <c r="C41" i="15"/>
  <c r="D41" i="15"/>
  <c r="E41" i="15"/>
  <c r="F41" i="15"/>
  <c r="G41" i="15"/>
  <c r="H41" i="15"/>
  <c r="J41" i="15"/>
  <c r="K41" i="15"/>
  <c r="L41" i="15"/>
  <c r="M41" i="15"/>
  <c r="N41" i="15"/>
  <c r="A42" i="15"/>
  <c r="B42" i="15"/>
  <c r="C42" i="15"/>
  <c r="D42" i="15"/>
  <c r="E42" i="15"/>
  <c r="F42" i="15"/>
  <c r="G42" i="15"/>
  <c r="H42" i="15"/>
  <c r="J42" i="15"/>
  <c r="K42" i="15"/>
  <c r="L42" i="15"/>
  <c r="M42" i="15"/>
  <c r="N42" i="15"/>
  <c r="A43" i="15"/>
  <c r="B43" i="15"/>
  <c r="C43" i="15"/>
  <c r="D43" i="15"/>
  <c r="E43" i="15"/>
  <c r="F43" i="15"/>
  <c r="G43" i="15"/>
  <c r="H43" i="15"/>
  <c r="J43" i="15"/>
  <c r="K43" i="15"/>
  <c r="L43" i="15"/>
  <c r="M43" i="15"/>
  <c r="N43" i="15"/>
  <c r="A44" i="15"/>
  <c r="B44" i="15"/>
  <c r="C44" i="15"/>
  <c r="D44" i="15"/>
  <c r="E44" i="15"/>
  <c r="F44" i="15"/>
  <c r="G44" i="15"/>
  <c r="H44" i="15"/>
  <c r="J44" i="15"/>
  <c r="K44" i="15"/>
  <c r="L44" i="15"/>
  <c r="M44" i="15"/>
  <c r="N44" i="15"/>
  <c r="A45" i="15"/>
  <c r="B45" i="15"/>
  <c r="C45" i="15"/>
  <c r="D45" i="15"/>
  <c r="E45" i="15"/>
  <c r="F45" i="15"/>
  <c r="G45" i="15"/>
  <c r="H45" i="15"/>
  <c r="J45" i="15"/>
  <c r="K45" i="15"/>
  <c r="L45" i="15"/>
  <c r="M45" i="15"/>
  <c r="N45" i="15"/>
  <c r="A46" i="15"/>
  <c r="B46" i="15"/>
  <c r="C46" i="15"/>
  <c r="D46" i="15"/>
  <c r="E46" i="15"/>
  <c r="F46" i="15"/>
  <c r="G46" i="15"/>
  <c r="H46" i="15"/>
  <c r="J46" i="15"/>
  <c r="K46" i="15"/>
  <c r="L46" i="15"/>
  <c r="M46" i="15"/>
  <c r="N46" i="15"/>
  <c r="A47" i="15"/>
  <c r="B47" i="15"/>
  <c r="C47" i="15"/>
  <c r="D47" i="15"/>
  <c r="E47" i="15"/>
  <c r="F47" i="15"/>
  <c r="G47" i="15"/>
  <c r="H47" i="15"/>
  <c r="J47" i="15"/>
  <c r="K47" i="15"/>
  <c r="L47" i="15"/>
  <c r="M47" i="15"/>
  <c r="N47" i="15"/>
  <c r="A48" i="15"/>
  <c r="B48" i="15"/>
  <c r="C48" i="15"/>
  <c r="D48" i="15"/>
  <c r="E48" i="15"/>
  <c r="F48" i="15"/>
  <c r="G48" i="15"/>
  <c r="H48" i="15"/>
  <c r="J48" i="15"/>
  <c r="K48" i="15"/>
  <c r="L48" i="15"/>
  <c r="M48" i="15"/>
  <c r="N48" i="15"/>
  <c r="A49" i="15"/>
  <c r="B49" i="15"/>
  <c r="C49" i="15"/>
  <c r="D49" i="15"/>
  <c r="E49" i="15"/>
  <c r="F49" i="15"/>
  <c r="G49" i="15"/>
  <c r="H49" i="15"/>
  <c r="J49" i="15"/>
  <c r="K49" i="15"/>
  <c r="L49" i="15"/>
  <c r="M49" i="15"/>
  <c r="N49" i="15"/>
  <c r="A50" i="15"/>
  <c r="B50" i="15"/>
  <c r="C50" i="15"/>
  <c r="D50" i="15"/>
  <c r="E50" i="15"/>
  <c r="F50" i="15"/>
  <c r="G50" i="15"/>
  <c r="H50" i="15"/>
  <c r="J50" i="15"/>
  <c r="K50" i="15"/>
  <c r="L50" i="15"/>
  <c r="M50" i="15"/>
  <c r="N50" i="15"/>
  <c r="A51" i="15"/>
  <c r="B51" i="15"/>
  <c r="C51" i="15"/>
  <c r="D51" i="15"/>
  <c r="E51" i="15"/>
  <c r="F51" i="15"/>
  <c r="G51" i="15"/>
  <c r="H51" i="15"/>
  <c r="J51" i="15"/>
  <c r="K51" i="15"/>
  <c r="L51" i="15"/>
  <c r="M51" i="15"/>
  <c r="N51" i="15"/>
  <c r="A52" i="15"/>
  <c r="B52" i="15"/>
  <c r="C52" i="15"/>
  <c r="D52" i="15"/>
  <c r="E52" i="15"/>
  <c r="F52" i="15"/>
  <c r="G52" i="15"/>
  <c r="H52" i="15"/>
  <c r="J52" i="15"/>
  <c r="K52" i="15"/>
  <c r="L52" i="15"/>
  <c r="M52" i="15"/>
  <c r="N52" i="15"/>
  <c r="A53" i="15"/>
  <c r="B53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A54" i="15"/>
  <c r="B54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A55" i="15"/>
  <c r="B55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A56" i="15"/>
  <c r="B56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A57" i="15"/>
  <c r="B57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A58" i="15"/>
  <c r="B58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A59" i="15"/>
  <c r="B59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A60" i="15"/>
  <c r="B60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A61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A62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A63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A64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A65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A66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A67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A68" i="15"/>
  <c r="B68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A69" i="15"/>
  <c r="B69" i="15"/>
  <c r="C69" i="15"/>
  <c r="D69" i="15"/>
  <c r="E69" i="15"/>
  <c r="F69" i="15"/>
  <c r="G69" i="15"/>
  <c r="H69" i="15"/>
  <c r="J69" i="15"/>
  <c r="K69" i="15"/>
  <c r="L69" i="15"/>
  <c r="M69" i="15"/>
  <c r="N69" i="15"/>
  <c r="A70" i="15"/>
  <c r="B70" i="15"/>
  <c r="C70" i="15"/>
  <c r="D70" i="15"/>
  <c r="E70" i="15"/>
  <c r="F70" i="15"/>
  <c r="G70" i="15"/>
  <c r="H70" i="15"/>
  <c r="J70" i="15"/>
  <c r="K70" i="15"/>
  <c r="L70" i="15"/>
  <c r="M70" i="15"/>
  <c r="N70" i="15"/>
  <c r="A71" i="15"/>
  <c r="B71" i="15"/>
  <c r="C71" i="15"/>
  <c r="D71" i="15"/>
  <c r="E71" i="15"/>
  <c r="F71" i="15"/>
  <c r="G71" i="15"/>
  <c r="H71" i="15"/>
  <c r="J71" i="15"/>
  <c r="K71" i="15"/>
  <c r="L71" i="15"/>
  <c r="M71" i="15"/>
  <c r="N71" i="15"/>
  <c r="O71" i="15"/>
  <c r="A72" i="15"/>
  <c r="B72" i="15"/>
  <c r="C72" i="15"/>
  <c r="D72" i="15"/>
  <c r="E72" i="15"/>
  <c r="F72" i="15"/>
  <c r="G72" i="15"/>
  <c r="H72" i="15"/>
  <c r="J72" i="15"/>
  <c r="K72" i="15"/>
  <c r="L72" i="15"/>
  <c r="M72" i="15"/>
  <c r="N72" i="15"/>
  <c r="A73" i="15"/>
  <c r="B73" i="15"/>
  <c r="C73" i="15"/>
  <c r="D73" i="15"/>
  <c r="E73" i="15"/>
  <c r="F73" i="15"/>
  <c r="G73" i="15"/>
  <c r="H73" i="15"/>
  <c r="J73" i="15"/>
  <c r="K73" i="15"/>
  <c r="L73" i="15"/>
  <c r="M73" i="15"/>
  <c r="N73" i="15"/>
  <c r="A74" i="15"/>
  <c r="B74" i="15"/>
  <c r="C74" i="15"/>
  <c r="D74" i="15"/>
  <c r="E74" i="15"/>
  <c r="F74" i="15"/>
  <c r="G74" i="15"/>
  <c r="H74" i="15"/>
  <c r="J74" i="15"/>
  <c r="K74" i="15"/>
  <c r="L74" i="15"/>
  <c r="M74" i="15"/>
  <c r="N74" i="15"/>
  <c r="A75" i="15"/>
  <c r="B75" i="15"/>
  <c r="C75" i="15"/>
  <c r="D75" i="15"/>
  <c r="E75" i="15"/>
  <c r="F75" i="15"/>
  <c r="G75" i="15"/>
  <c r="H75" i="15"/>
  <c r="J75" i="15"/>
  <c r="K75" i="15"/>
  <c r="L75" i="15"/>
  <c r="M75" i="15"/>
  <c r="N75" i="15"/>
  <c r="A76" i="15"/>
  <c r="B76" i="15"/>
  <c r="C76" i="15"/>
  <c r="D76" i="15"/>
  <c r="E76" i="15"/>
  <c r="F76" i="15"/>
  <c r="G76" i="15"/>
  <c r="H76" i="15"/>
  <c r="J76" i="15"/>
  <c r="K76" i="15"/>
  <c r="L76" i="15"/>
  <c r="M76" i="15"/>
  <c r="N76" i="15"/>
  <c r="O76" i="15"/>
  <c r="A77" i="15"/>
  <c r="B77" i="15"/>
  <c r="C77" i="15"/>
  <c r="D77" i="15"/>
  <c r="E77" i="15"/>
  <c r="F77" i="15"/>
  <c r="G77" i="15"/>
  <c r="H77" i="15"/>
  <c r="J77" i="15"/>
  <c r="K77" i="15"/>
  <c r="L77" i="15"/>
  <c r="M77" i="15"/>
  <c r="N77" i="15"/>
  <c r="O77" i="15"/>
  <c r="A78" i="15"/>
  <c r="B78" i="15"/>
  <c r="C78" i="15"/>
  <c r="D78" i="15"/>
  <c r="E78" i="15"/>
  <c r="F78" i="15"/>
  <c r="G78" i="15"/>
  <c r="H78" i="15"/>
  <c r="J78" i="15"/>
  <c r="K78" i="15"/>
  <c r="L78" i="15"/>
  <c r="M78" i="15"/>
  <c r="N78" i="15"/>
  <c r="A79" i="15"/>
  <c r="B79" i="15"/>
  <c r="C79" i="15"/>
  <c r="D79" i="15"/>
  <c r="E79" i="15"/>
  <c r="F79" i="15"/>
  <c r="G79" i="15"/>
  <c r="H79" i="15"/>
  <c r="J79" i="15"/>
  <c r="K79" i="15"/>
  <c r="L79" i="15"/>
  <c r="M79" i="15"/>
  <c r="N79" i="15"/>
  <c r="A80" i="15"/>
  <c r="B80" i="15"/>
  <c r="C80" i="15"/>
  <c r="D80" i="15"/>
  <c r="E80" i="15"/>
  <c r="F80" i="15"/>
  <c r="G80" i="15"/>
  <c r="H80" i="15"/>
  <c r="J80" i="15"/>
  <c r="K80" i="15"/>
  <c r="L80" i="15"/>
  <c r="M80" i="15"/>
  <c r="N80" i="15"/>
  <c r="A81" i="15"/>
  <c r="B81" i="15"/>
  <c r="C81" i="15"/>
  <c r="D81" i="15"/>
  <c r="E81" i="15"/>
  <c r="F81" i="15"/>
  <c r="G81" i="15"/>
  <c r="H81" i="15"/>
  <c r="J81" i="15"/>
  <c r="K81" i="15"/>
  <c r="L81" i="15"/>
  <c r="M81" i="15"/>
  <c r="N81" i="15"/>
  <c r="A82" i="15"/>
  <c r="B82" i="15"/>
  <c r="C82" i="15"/>
  <c r="D82" i="15"/>
  <c r="E82" i="15"/>
  <c r="F82" i="15"/>
  <c r="G82" i="15"/>
  <c r="H82" i="15"/>
  <c r="J82" i="15"/>
  <c r="K82" i="15"/>
  <c r="L82" i="15"/>
  <c r="M82" i="15"/>
  <c r="N82" i="15"/>
  <c r="A83" i="15"/>
  <c r="B83" i="15"/>
  <c r="C83" i="15"/>
  <c r="D83" i="15"/>
  <c r="E83" i="15"/>
  <c r="F83" i="15"/>
  <c r="G83" i="15"/>
  <c r="H83" i="15"/>
  <c r="J83" i="15"/>
  <c r="K83" i="15"/>
  <c r="L83" i="15"/>
  <c r="M83" i="15"/>
  <c r="N83" i="15"/>
  <c r="A84" i="15"/>
  <c r="B84" i="15"/>
  <c r="C84" i="15"/>
  <c r="D84" i="15"/>
  <c r="E84" i="15"/>
  <c r="F84" i="15"/>
  <c r="G84" i="15"/>
  <c r="H84" i="15"/>
  <c r="J84" i="15"/>
  <c r="K84" i="15"/>
  <c r="L84" i="15"/>
  <c r="M84" i="15"/>
  <c r="N84" i="15"/>
  <c r="A85" i="15"/>
  <c r="B85" i="15"/>
  <c r="C85" i="15"/>
  <c r="D85" i="15"/>
  <c r="E85" i="15"/>
  <c r="F85" i="15"/>
  <c r="G85" i="15"/>
  <c r="H85" i="15"/>
  <c r="J85" i="15"/>
  <c r="K85" i="15"/>
  <c r="L85" i="15"/>
  <c r="M85" i="15"/>
  <c r="N85" i="15"/>
  <c r="A86" i="15"/>
  <c r="B86" i="15"/>
  <c r="C86" i="15"/>
  <c r="D86" i="15"/>
  <c r="E86" i="15"/>
  <c r="F86" i="15"/>
  <c r="G86" i="15"/>
  <c r="H86" i="15"/>
  <c r="J86" i="15"/>
  <c r="K86" i="15"/>
  <c r="L86" i="15"/>
  <c r="M86" i="15"/>
  <c r="N86" i="15"/>
  <c r="A87" i="15"/>
  <c r="B87" i="15"/>
  <c r="C87" i="15"/>
  <c r="D87" i="15"/>
  <c r="E87" i="15"/>
  <c r="F87" i="15"/>
  <c r="G87" i="15"/>
  <c r="H87" i="15"/>
  <c r="J87" i="15"/>
  <c r="K87" i="15"/>
  <c r="L87" i="15"/>
  <c r="M87" i="15"/>
  <c r="N87" i="15"/>
  <c r="A88" i="15"/>
  <c r="B88" i="15"/>
  <c r="C88" i="15"/>
  <c r="D88" i="15"/>
  <c r="E88" i="15"/>
  <c r="F88" i="15"/>
  <c r="G88" i="15"/>
  <c r="H88" i="15"/>
  <c r="J88" i="15"/>
  <c r="K88" i="15"/>
  <c r="L88" i="15"/>
  <c r="M88" i="15"/>
  <c r="N88" i="15"/>
  <c r="A89" i="15"/>
  <c r="B89" i="15"/>
  <c r="C89" i="15"/>
  <c r="D89" i="15"/>
  <c r="E89" i="15"/>
  <c r="F89" i="15"/>
  <c r="G89" i="15"/>
  <c r="H89" i="15"/>
  <c r="J89" i="15"/>
  <c r="K89" i="15"/>
  <c r="L89" i="15"/>
  <c r="M89" i="15"/>
  <c r="N89" i="15"/>
  <c r="A90" i="15"/>
  <c r="B90" i="15"/>
  <c r="C90" i="15"/>
  <c r="D90" i="15"/>
  <c r="E90" i="15"/>
  <c r="F90" i="15"/>
  <c r="G90" i="15"/>
  <c r="H90" i="15"/>
  <c r="J90" i="15"/>
  <c r="K90" i="15"/>
  <c r="L90" i="15"/>
  <c r="M90" i="15"/>
  <c r="N90" i="15"/>
  <c r="A91" i="15"/>
  <c r="B91" i="15"/>
  <c r="C91" i="15"/>
  <c r="D91" i="15"/>
  <c r="E91" i="15"/>
  <c r="F91" i="15"/>
  <c r="G91" i="15"/>
  <c r="H91" i="15"/>
  <c r="J91" i="15"/>
  <c r="K91" i="15"/>
  <c r="L91" i="15"/>
  <c r="M91" i="15"/>
  <c r="N91" i="15"/>
  <c r="A92" i="15"/>
  <c r="B92" i="15"/>
  <c r="C92" i="15"/>
  <c r="D92" i="15"/>
  <c r="E92" i="15"/>
  <c r="F92" i="15"/>
  <c r="G92" i="15"/>
  <c r="H92" i="15"/>
  <c r="J92" i="15"/>
  <c r="K92" i="15"/>
  <c r="L92" i="15"/>
  <c r="M92" i="15"/>
  <c r="N92" i="15"/>
  <c r="A93" i="15"/>
  <c r="B93" i="15"/>
  <c r="C93" i="15"/>
  <c r="D93" i="15"/>
  <c r="E93" i="15"/>
  <c r="F93" i="15"/>
  <c r="G93" i="15"/>
  <c r="H93" i="15"/>
  <c r="J93" i="15"/>
  <c r="K93" i="15"/>
  <c r="L93" i="15"/>
  <c r="M93" i="15"/>
  <c r="N93" i="15"/>
  <c r="A94" i="15"/>
  <c r="B94" i="15"/>
  <c r="C94" i="15"/>
  <c r="D94" i="15"/>
  <c r="E94" i="15"/>
  <c r="F94" i="15"/>
  <c r="G94" i="15"/>
  <c r="H94" i="15"/>
  <c r="J94" i="15"/>
  <c r="K94" i="15"/>
  <c r="L94" i="15"/>
  <c r="M94" i="15"/>
  <c r="N94" i="15"/>
  <c r="A95" i="15"/>
  <c r="B95" i="15"/>
  <c r="C95" i="15"/>
  <c r="D95" i="15"/>
  <c r="E95" i="15"/>
  <c r="F95" i="15"/>
  <c r="G95" i="15"/>
  <c r="H95" i="15"/>
  <c r="J95" i="15"/>
  <c r="K95" i="15"/>
  <c r="L95" i="15"/>
  <c r="M95" i="15"/>
  <c r="N95" i="15"/>
  <c r="A96" i="15"/>
  <c r="B96" i="15"/>
  <c r="C96" i="15"/>
  <c r="D96" i="15"/>
  <c r="E96" i="15"/>
  <c r="F96" i="15"/>
  <c r="G96" i="15"/>
  <c r="H96" i="15"/>
  <c r="J96" i="15"/>
  <c r="K96" i="15"/>
  <c r="L96" i="15"/>
  <c r="M96" i="15"/>
  <c r="N96" i="15"/>
  <c r="A97" i="15"/>
  <c r="B97" i="15"/>
  <c r="C97" i="15"/>
  <c r="D97" i="15"/>
  <c r="E97" i="15"/>
  <c r="F97" i="15"/>
  <c r="G97" i="15"/>
  <c r="H97" i="15"/>
  <c r="J97" i="15"/>
  <c r="K97" i="15"/>
  <c r="L97" i="15"/>
  <c r="M97" i="15"/>
  <c r="N97" i="15"/>
  <c r="A98" i="15"/>
  <c r="B98" i="15"/>
  <c r="C98" i="15"/>
  <c r="D98" i="15"/>
  <c r="E98" i="15"/>
  <c r="F98" i="15"/>
  <c r="G98" i="15"/>
  <c r="H98" i="15"/>
  <c r="J98" i="15"/>
  <c r="K98" i="15"/>
  <c r="L98" i="15"/>
  <c r="M98" i="15"/>
  <c r="N98" i="15"/>
  <c r="A99" i="15"/>
  <c r="B99" i="15"/>
  <c r="C99" i="15"/>
  <c r="D99" i="15"/>
  <c r="E99" i="15"/>
  <c r="F99" i="15"/>
  <c r="G99" i="15"/>
  <c r="H99" i="15"/>
  <c r="J99" i="15"/>
  <c r="K99" i="15"/>
  <c r="L99" i="15"/>
  <c r="M99" i="15"/>
  <c r="N99" i="15"/>
  <c r="A100" i="15"/>
  <c r="B100" i="15"/>
  <c r="C100" i="15"/>
  <c r="D100" i="15"/>
  <c r="E100" i="15"/>
  <c r="F100" i="15"/>
  <c r="G100" i="15"/>
  <c r="H100" i="15"/>
  <c r="J100" i="15"/>
  <c r="K100" i="15"/>
  <c r="L100" i="15"/>
  <c r="M100" i="15"/>
  <c r="N100" i="15"/>
  <c r="A101" i="15"/>
  <c r="B101" i="15"/>
  <c r="C101" i="15"/>
  <c r="D101" i="15"/>
  <c r="E101" i="15"/>
  <c r="F101" i="15"/>
  <c r="G101" i="15"/>
  <c r="H101" i="15"/>
  <c r="J101" i="15"/>
  <c r="K101" i="15"/>
  <c r="L101" i="15"/>
  <c r="M101" i="15"/>
  <c r="N101" i="15"/>
  <c r="A102" i="15"/>
  <c r="B102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A103" i="15"/>
  <c r="B103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A104" i="15"/>
  <c r="B104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A105" i="15"/>
  <c r="B105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A106" i="15"/>
  <c r="B106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A107" i="15"/>
  <c r="B107" i="15"/>
  <c r="C107" i="15"/>
  <c r="D107" i="15"/>
  <c r="E107" i="15"/>
  <c r="F107" i="15"/>
  <c r="G107" i="15"/>
  <c r="H107" i="15"/>
  <c r="I107" i="15"/>
  <c r="J107" i="15"/>
  <c r="K107" i="15"/>
  <c r="L107" i="15"/>
  <c r="M107" i="15"/>
  <c r="N107" i="15"/>
  <c r="O107" i="15"/>
  <c r="A108" i="15"/>
  <c r="B108" i="15"/>
  <c r="C108" i="15"/>
  <c r="D108" i="15"/>
  <c r="E108" i="15"/>
  <c r="F108" i="15"/>
  <c r="G108" i="15"/>
  <c r="H108" i="15"/>
  <c r="I108" i="15"/>
  <c r="J108" i="15"/>
  <c r="K108" i="15"/>
  <c r="L108" i="15"/>
  <c r="M108" i="15"/>
  <c r="N108" i="15"/>
  <c r="O108" i="15"/>
  <c r="A109" i="15"/>
  <c r="B109" i="15"/>
  <c r="C109" i="15"/>
  <c r="D109" i="15"/>
  <c r="E109" i="15"/>
  <c r="F109" i="15"/>
  <c r="G109" i="15"/>
  <c r="H109" i="15"/>
  <c r="I109" i="15"/>
  <c r="J109" i="15"/>
  <c r="K109" i="15"/>
  <c r="L109" i="15"/>
  <c r="M109" i="15"/>
  <c r="N109" i="15"/>
  <c r="O109" i="15"/>
  <c r="A110" i="15"/>
  <c r="B110" i="15"/>
  <c r="C110" i="15"/>
  <c r="D110" i="15"/>
  <c r="E110" i="15"/>
  <c r="F110" i="15"/>
  <c r="G110" i="15"/>
  <c r="H110" i="15"/>
  <c r="I110" i="15"/>
  <c r="J110" i="15"/>
  <c r="K110" i="15"/>
  <c r="L110" i="15"/>
  <c r="M110" i="15"/>
  <c r="N110" i="15"/>
  <c r="O110" i="15"/>
  <c r="A111" i="15"/>
  <c r="B111" i="15"/>
  <c r="C111" i="15"/>
  <c r="D111" i="15"/>
  <c r="E111" i="15"/>
  <c r="F111" i="15"/>
  <c r="G111" i="15"/>
  <c r="H111" i="15"/>
  <c r="I111" i="15"/>
  <c r="J111" i="15"/>
  <c r="K111" i="15"/>
  <c r="L111" i="15"/>
  <c r="M111" i="15"/>
  <c r="N111" i="15"/>
  <c r="O111" i="15"/>
  <c r="A112" i="15"/>
  <c r="B112" i="15"/>
  <c r="C112" i="15"/>
  <c r="D112" i="15"/>
  <c r="E112" i="15"/>
  <c r="F112" i="15"/>
  <c r="G112" i="15"/>
  <c r="H112" i="15"/>
  <c r="I112" i="15"/>
  <c r="J112" i="15"/>
  <c r="K112" i="15"/>
  <c r="L112" i="15"/>
  <c r="M112" i="15"/>
  <c r="N112" i="15"/>
  <c r="O112" i="15"/>
  <c r="A113" i="15"/>
  <c r="B113" i="15"/>
  <c r="C113" i="15"/>
  <c r="D113" i="15"/>
  <c r="E113" i="15"/>
  <c r="F113" i="15"/>
  <c r="G113" i="15"/>
  <c r="H113" i="15"/>
  <c r="I113" i="15"/>
  <c r="J113" i="15"/>
  <c r="K113" i="15"/>
  <c r="L113" i="15"/>
  <c r="M113" i="15"/>
  <c r="N113" i="15"/>
  <c r="O113" i="15"/>
  <c r="A114" i="15"/>
  <c r="B114" i="15"/>
  <c r="C114" i="15"/>
  <c r="D114" i="15"/>
  <c r="E114" i="15"/>
  <c r="F114" i="15"/>
  <c r="G114" i="15"/>
  <c r="H114" i="15"/>
  <c r="I114" i="15"/>
  <c r="J114" i="15"/>
  <c r="K114" i="15"/>
  <c r="L114" i="15"/>
  <c r="M114" i="15"/>
  <c r="N114" i="15"/>
  <c r="O114" i="15"/>
  <c r="A115" i="15"/>
  <c r="B115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A116" i="15"/>
  <c r="B116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A117" i="15"/>
  <c r="B117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A118" i="15"/>
  <c r="B118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A119" i="15"/>
  <c r="B119" i="15"/>
  <c r="C119" i="15"/>
  <c r="D119" i="15"/>
  <c r="E119" i="15"/>
  <c r="F119" i="15"/>
  <c r="G119" i="15"/>
  <c r="H119" i="15"/>
  <c r="I119" i="15"/>
  <c r="J119" i="15"/>
  <c r="K119" i="15"/>
  <c r="L119" i="15"/>
  <c r="M119" i="15"/>
  <c r="N119" i="15"/>
  <c r="O119" i="15"/>
  <c r="A120" i="15"/>
  <c r="B120" i="15"/>
  <c r="C120" i="15"/>
  <c r="D120" i="15"/>
  <c r="E120" i="15"/>
  <c r="F120" i="15"/>
  <c r="G120" i="15"/>
  <c r="H120" i="15"/>
  <c r="I120" i="15"/>
  <c r="J120" i="15"/>
  <c r="K120" i="15"/>
  <c r="L120" i="15"/>
  <c r="M120" i="15"/>
  <c r="N120" i="15"/>
  <c r="O120" i="15"/>
  <c r="A121" i="15"/>
  <c r="B121" i="15"/>
  <c r="C121" i="15"/>
  <c r="D121" i="15"/>
  <c r="E121" i="15"/>
  <c r="F121" i="15"/>
  <c r="G121" i="15"/>
  <c r="H121" i="15"/>
  <c r="I121" i="15"/>
  <c r="J121" i="15"/>
  <c r="K121" i="15"/>
  <c r="L121" i="15"/>
  <c r="M121" i="15"/>
  <c r="N121" i="15"/>
  <c r="O121" i="15"/>
  <c r="A122" i="15"/>
  <c r="B122" i="15"/>
  <c r="C122" i="15"/>
  <c r="D122" i="15"/>
  <c r="E122" i="15"/>
  <c r="F122" i="15"/>
  <c r="G122" i="15"/>
  <c r="H122" i="15"/>
  <c r="I122" i="15"/>
  <c r="J122" i="15"/>
  <c r="K122" i="15"/>
  <c r="L122" i="15"/>
  <c r="M122" i="15"/>
  <c r="N122" i="15"/>
  <c r="O122" i="15"/>
  <c r="A123" i="15"/>
  <c r="B123" i="15"/>
  <c r="C123" i="15"/>
  <c r="D123" i="15"/>
  <c r="E123" i="15"/>
  <c r="F123" i="15"/>
  <c r="G123" i="15"/>
  <c r="H123" i="15"/>
  <c r="I123" i="15"/>
  <c r="J123" i="15"/>
  <c r="K123" i="15"/>
  <c r="L123" i="15"/>
  <c r="M123" i="15"/>
  <c r="N123" i="15"/>
  <c r="O123" i="15"/>
  <c r="A124" i="15"/>
  <c r="B124" i="15"/>
  <c r="C124" i="15"/>
  <c r="D124" i="15"/>
  <c r="E124" i="15"/>
  <c r="F124" i="15"/>
  <c r="G124" i="15"/>
  <c r="H124" i="15"/>
  <c r="I124" i="15"/>
  <c r="J124" i="15"/>
  <c r="K124" i="15"/>
  <c r="L124" i="15"/>
  <c r="M124" i="15"/>
  <c r="N124" i="15"/>
  <c r="O124" i="15"/>
  <c r="A125" i="15"/>
  <c r="B125" i="15"/>
  <c r="C125" i="15"/>
  <c r="D125" i="15"/>
  <c r="E125" i="15"/>
  <c r="F125" i="15"/>
  <c r="G125" i="15"/>
  <c r="H125" i="15"/>
  <c r="I125" i="15"/>
  <c r="J125" i="15"/>
  <c r="K125" i="15"/>
  <c r="L125" i="15"/>
  <c r="M125" i="15"/>
  <c r="N125" i="15"/>
  <c r="O125" i="15"/>
  <c r="A126" i="15"/>
  <c r="B126" i="15"/>
  <c r="C126" i="15"/>
  <c r="D126" i="15"/>
  <c r="E126" i="15"/>
  <c r="F126" i="15"/>
  <c r="G126" i="15"/>
  <c r="H126" i="15"/>
  <c r="I126" i="15"/>
  <c r="J126" i="15"/>
  <c r="K126" i="15"/>
  <c r="L126" i="15"/>
  <c r="M126" i="15"/>
  <c r="N126" i="15"/>
  <c r="O126" i="15"/>
  <c r="A127" i="15"/>
  <c r="B127" i="15"/>
  <c r="C127" i="15"/>
  <c r="D127" i="15"/>
  <c r="E127" i="15"/>
  <c r="F127" i="15"/>
  <c r="G127" i="15"/>
  <c r="H127" i="15"/>
  <c r="I127" i="15"/>
  <c r="J127" i="15"/>
  <c r="K127" i="15"/>
  <c r="L127" i="15"/>
  <c r="M127" i="15"/>
  <c r="N127" i="15"/>
  <c r="O127" i="15"/>
  <c r="A128" i="15"/>
  <c r="B128" i="15"/>
  <c r="C128" i="15"/>
  <c r="D128" i="15"/>
  <c r="E128" i="15"/>
  <c r="F128" i="15"/>
  <c r="G128" i="15"/>
  <c r="H128" i="15"/>
  <c r="I128" i="15"/>
  <c r="J128" i="15"/>
  <c r="K128" i="15"/>
  <c r="L128" i="15"/>
  <c r="M128" i="15"/>
  <c r="N128" i="15"/>
  <c r="O128" i="15"/>
  <c r="A129" i="15"/>
  <c r="B129" i="15"/>
  <c r="C129" i="15"/>
  <c r="D129" i="15"/>
  <c r="E129" i="15"/>
  <c r="F129" i="15"/>
  <c r="G129" i="15"/>
  <c r="H129" i="15"/>
  <c r="I129" i="15"/>
  <c r="J129" i="15"/>
  <c r="K129" i="15"/>
  <c r="L129" i="15"/>
  <c r="M129" i="15"/>
  <c r="N129" i="15"/>
  <c r="O129" i="15"/>
  <c r="A130" i="15"/>
  <c r="B130" i="15"/>
  <c r="C130" i="15"/>
  <c r="D130" i="15"/>
  <c r="E130" i="15"/>
  <c r="F130" i="15"/>
  <c r="G130" i="15"/>
  <c r="H130" i="15"/>
  <c r="I130" i="15"/>
  <c r="J130" i="15"/>
  <c r="K130" i="15"/>
  <c r="L130" i="15"/>
  <c r="M130" i="15"/>
  <c r="N130" i="15"/>
  <c r="O130" i="15"/>
  <c r="A131" i="15"/>
  <c r="B131" i="15"/>
  <c r="C131" i="15"/>
  <c r="D131" i="15"/>
  <c r="E131" i="15"/>
  <c r="F131" i="15"/>
  <c r="G131" i="15"/>
  <c r="H131" i="15"/>
  <c r="I131" i="15"/>
  <c r="J131" i="15"/>
  <c r="K131" i="15"/>
  <c r="L131" i="15"/>
  <c r="M131" i="15"/>
  <c r="N131" i="15"/>
  <c r="O131" i="15"/>
  <c r="A132" i="15"/>
  <c r="B132" i="15"/>
  <c r="C132" i="15"/>
  <c r="D132" i="15"/>
  <c r="E132" i="15"/>
  <c r="F132" i="15"/>
  <c r="G132" i="15"/>
  <c r="H132" i="15"/>
  <c r="I132" i="15"/>
  <c r="J132" i="15"/>
  <c r="K132" i="15"/>
  <c r="L132" i="15"/>
  <c r="M132" i="15"/>
  <c r="N132" i="15"/>
  <c r="O132" i="15"/>
  <c r="A133" i="15"/>
  <c r="B133" i="15"/>
  <c r="C133" i="15"/>
  <c r="D133" i="15"/>
  <c r="E133" i="15"/>
  <c r="F133" i="15"/>
  <c r="G133" i="15"/>
  <c r="H133" i="15"/>
  <c r="I133" i="15"/>
  <c r="J133" i="15"/>
  <c r="K133" i="15"/>
  <c r="L133" i="15"/>
  <c r="M133" i="15"/>
  <c r="N133" i="15"/>
  <c r="O133" i="15"/>
  <c r="A134" i="15"/>
  <c r="B134" i="15"/>
  <c r="C134" i="15"/>
  <c r="D134" i="15"/>
  <c r="E134" i="15"/>
  <c r="F134" i="15"/>
  <c r="G134" i="15"/>
  <c r="H134" i="15"/>
  <c r="I134" i="15"/>
  <c r="J134" i="15"/>
  <c r="K134" i="15"/>
  <c r="L134" i="15"/>
  <c r="M134" i="15"/>
  <c r="N134" i="15"/>
  <c r="O134" i="15"/>
  <c r="A135" i="15"/>
  <c r="B135" i="15"/>
  <c r="C135" i="15"/>
  <c r="D135" i="15"/>
  <c r="E135" i="15"/>
  <c r="F135" i="15"/>
  <c r="G135" i="15"/>
  <c r="H135" i="15"/>
  <c r="I135" i="15"/>
  <c r="J135" i="15"/>
  <c r="K135" i="15"/>
  <c r="L135" i="15"/>
  <c r="M135" i="15"/>
  <c r="N135" i="15"/>
  <c r="O135" i="15"/>
  <c r="A136" i="15"/>
  <c r="B136" i="15"/>
  <c r="C136" i="15"/>
  <c r="D136" i="15"/>
  <c r="E136" i="15"/>
  <c r="F136" i="15"/>
  <c r="G136" i="15"/>
  <c r="H136" i="15"/>
  <c r="I136" i="15"/>
  <c r="J136" i="15"/>
  <c r="K136" i="15"/>
  <c r="L136" i="15"/>
  <c r="M136" i="15"/>
  <c r="N136" i="15"/>
  <c r="O136" i="15"/>
  <c r="A137" i="15"/>
  <c r="B137" i="15"/>
  <c r="C137" i="15"/>
  <c r="D137" i="15"/>
  <c r="E137" i="15"/>
  <c r="F137" i="15"/>
  <c r="G137" i="15"/>
  <c r="H137" i="15"/>
  <c r="I137" i="15"/>
  <c r="J137" i="15"/>
  <c r="K137" i="15"/>
  <c r="L137" i="15"/>
  <c r="M137" i="15"/>
  <c r="N137" i="15"/>
  <c r="O137" i="15"/>
  <c r="A138" i="15"/>
  <c r="B138" i="15"/>
  <c r="C138" i="15"/>
  <c r="D138" i="15"/>
  <c r="E138" i="15"/>
  <c r="F138" i="15"/>
  <c r="G138" i="15"/>
  <c r="H138" i="15"/>
  <c r="I138" i="15"/>
  <c r="J138" i="15"/>
  <c r="K138" i="15"/>
  <c r="L138" i="15"/>
  <c r="M138" i="15"/>
  <c r="N138" i="15"/>
  <c r="O138" i="15"/>
  <c r="A139" i="15"/>
  <c r="B139" i="15"/>
  <c r="C139" i="15"/>
  <c r="D139" i="15"/>
  <c r="E139" i="15"/>
  <c r="F139" i="15"/>
  <c r="G139" i="15"/>
  <c r="H139" i="15"/>
  <c r="I139" i="15"/>
  <c r="J139" i="15"/>
  <c r="K139" i="15"/>
  <c r="L139" i="15"/>
  <c r="M139" i="15"/>
  <c r="N139" i="15"/>
  <c r="O139" i="15"/>
  <c r="A140" i="15"/>
  <c r="B140" i="15"/>
  <c r="C140" i="15"/>
  <c r="D140" i="15"/>
  <c r="E140" i="15"/>
  <c r="F140" i="15"/>
  <c r="G140" i="15"/>
  <c r="H140" i="15"/>
  <c r="I140" i="15"/>
  <c r="J140" i="15"/>
  <c r="K140" i="15"/>
  <c r="L140" i="15"/>
  <c r="M140" i="15"/>
  <c r="N140" i="15"/>
  <c r="O140" i="15"/>
  <c r="A141" i="15"/>
  <c r="B141" i="15"/>
  <c r="C141" i="15"/>
  <c r="D141" i="15"/>
  <c r="E141" i="15"/>
  <c r="F141" i="15"/>
  <c r="G141" i="15"/>
  <c r="H141" i="15"/>
  <c r="I141" i="15"/>
  <c r="J141" i="15"/>
  <c r="K141" i="15"/>
  <c r="L141" i="15"/>
  <c r="M141" i="15"/>
  <c r="N141" i="15"/>
  <c r="O141" i="15"/>
  <c r="A142" i="15"/>
  <c r="B142" i="15"/>
  <c r="C142" i="15"/>
  <c r="D142" i="15"/>
  <c r="E142" i="15"/>
  <c r="F142" i="15"/>
  <c r="G142" i="15"/>
  <c r="H142" i="15"/>
  <c r="I142" i="15"/>
  <c r="J142" i="15"/>
  <c r="K142" i="15"/>
  <c r="L142" i="15"/>
  <c r="M142" i="15"/>
  <c r="N142" i="15"/>
  <c r="O142" i="15"/>
  <c r="A143" i="15"/>
  <c r="B143" i="15"/>
  <c r="C143" i="15"/>
  <c r="D143" i="15"/>
  <c r="E143" i="15"/>
  <c r="F143" i="15"/>
  <c r="G143" i="15"/>
  <c r="H143" i="15"/>
  <c r="I143" i="15"/>
  <c r="J143" i="15"/>
  <c r="K143" i="15"/>
  <c r="L143" i="15"/>
  <c r="M143" i="15"/>
  <c r="N143" i="15"/>
  <c r="O143" i="15"/>
  <c r="A144" i="15"/>
  <c r="B144" i="15"/>
  <c r="C144" i="15"/>
  <c r="D144" i="15"/>
  <c r="E144" i="15"/>
  <c r="F144" i="15"/>
  <c r="G144" i="15"/>
  <c r="H144" i="15"/>
  <c r="I144" i="15"/>
  <c r="J144" i="15"/>
  <c r="K144" i="15"/>
  <c r="L144" i="15"/>
  <c r="M144" i="15"/>
  <c r="N144" i="15"/>
  <c r="O144" i="15"/>
  <c r="A145" i="15"/>
  <c r="B145" i="15"/>
  <c r="C145" i="15"/>
  <c r="D145" i="15"/>
  <c r="E145" i="15"/>
  <c r="F145" i="15"/>
  <c r="G145" i="15"/>
  <c r="H145" i="15"/>
  <c r="I145" i="15"/>
  <c r="J145" i="15"/>
  <c r="K145" i="15"/>
  <c r="L145" i="15"/>
  <c r="M145" i="15"/>
  <c r="N145" i="15"/>
  <c r="O145" i="15"/>
  <c r="A146" i="15"/>
  <c r="B146" i="15"/>
  <c r="C146" i="15"/>
  <c r="D146" i="15"/>
  <c r="E146" i="15"/>
  <c r="F146" i="15"/>
  <c r="G146" i="15"/>
  <c r="H146" i="15"/>
  <c r="I146" i="15"/>
  <c r="J146" i="15"/>
  <c r="K146" i="15"/>
  <c r="L146" i="15"/>
  <c r="M146" i="15"/>
  <c r="N146" i="15"/>
  <c r="O146" i="15"/>
  <c r="A147" i="15"/>
  <c r="B147" i="15"/>
  <c r="C147" i="15"/>
  <c r="D147" i="15"/>
  <c r="E147" i="15"/>
  <c r="F147" i="15"/>
  <c r="G147" i="15"/>
  <c r="H147" i="15"/>
  <c r="I147" i="15"/>
  <c r="J147" i="15"/>
  <c r="K147" i="15"/>
  <c r="L147" i="15"/>
  <c r="M147" i="15"/>
  <c r="N147" i="15"/>
  <c r="O147" i="15"/>
  <c r="A148" i="15"/>
  <c r="B148" i="15"/>
  <c r="C148" i="15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A149" i="15"/>
  <c r="B149" i="15"/>
  <c r="C149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A150" i="15"/>
  <c r="B150" i="15"/>
  <c r="C150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A151" i="15"/>
  <c r="B151" i="15"/>
  <c r="C151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A152" i="15"/>
  <c r="B152" i="15"/>
  <c r="C152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A153" i="15"/>
  <c r="B153" i="15"/>
  <c r="C153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A154" i="15"/>
  <c r="B154" i="15"/>
  <c r="C154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A155" i="15"/>
  <c r="B155" i="15"/>
  <c r="C155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A156" i="15"/>
  <c r="B156" i="15"/>
  <c r="C156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A157" i="15"/>
  <c r="B157" i="15"/>
  <c r="C157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A158" i="15"/>
  <c r="B158" i="15"/>
  <c r="C158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A159" i="15"/>
  <c r="B159" i="15"/>
  <c r="C159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A160" i="15"/>
  <c r="B160" i="15"/>
  <c r="C160" i="15"/>
  <c r="D160" i="15"/>
  <c r="E160" i="15"/>
  <c r="F160" i="15"/>
  <c r="G160" i="15"/>
  <c r="H160" i="15"/>
  <c r="I160" i="15"/>
  <c r="J160" i="15"/>
  <c r="K160" i="15"/>
  <c r="L160" i="15"/>
  <c r="M160" i="15"/>
  <c r="N160" i="15"/>
  <c r="O160" i="15"/>
  <c r="A161" i="15"/>
  <c r="B161" i="15"/>
  <c r="C161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A162" i="15"/>
  <c r="B162" i="15"/>
  <c r="C162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A163" i="15"/>
  <c r="B163" i="15"/>
  <c r="C163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A164" i="15"/>
  <c r="B164" i="15"/>
  <c r="C164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A165" i="15"/>
  <c r="B165" i="15"/>
  <c r="C165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A166" i="15"/>
  <c r="B166" i="15"/>
  <c r="C166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A167" i="15"/>
  <c r="B167" i="15"/>
  <c r="C167" i="15"/>
  <c r="D167" i="15"/>
  <c r="E167" i="15"/>
  <c r="F167" i="15"/>
  <c r="G167" i="15"/>
  <c r="H167" i="15"/>
  <c r="I167" i="15"/>
  <c r="J167" i="15"/>
  <c r="K167" i="15"/>
  <c r="L167" i="15"/>
  <c r="M167" i="15"/>
  <c r="N167" i="15"/>
  <c r="O167" i="15"/>
  <c r="A168" i="15"/>
  <c r="B168" i="15"/>
  <c r="C168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A169" i="15"/>
  <c r="B169" i="15"/>
  <c r="C169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A170" i="15"/>
  <c r="B170" i="15"/>
  <c r="C170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A171" i="15"/>
  <c r="B171" i="15"/>
  <c r="C171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A172" i="15"/>
  <c r="B172" i="15"/>
  <c r="C172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A173" i="15"/>
  <c r="B173" i="15"/>
  <c r="C173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A174" i="15"/>
  <c r="B174" i="15"/>
  <c r="C174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A175" i="15"/>
  <c r="B175" i="15"/>
  <c r="C175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A176" i="15"/>
  <c r="B176" i="15"/>
  <c r="C176" i="15"/>
  <c r="D176" i="15"/>
  <c r="E176" i="15"/>
  <c r="F176" i="15"/>
  <c r="G176" i="15"/>
  <c r="H176" i="15"/>
  <c r="I176" i="15"/>
  <c r="J176" i="15"/>
  <c r="K176" i="15"/>
  <c r="L176" i="15"/>
  <c r="M176" i="15"/>
  <c r="N176" i="15"/>
  <c r="O176" i="15"/>
  <c r="A177" i="15"/>
  <c r="B177" i="15"/>
  <c r="C177" i="15"/>
  <c r="D177" i="15"/>
  <c r="E177" i="15"/>
  <c r="F177" i="15"/>
  <c r="G177" i="15"/>
  <c r="H177" i="15"/>
  <c r="I177" i="15"/>
  <c r="J177" i="15"/>
  <c r="K177" i="15"/>
  <c r="L177" i="15"/>
  <c r="M177" i="15"/>
  <c r="N177" i="15"/>
  <c r="O177" i="15"/>
  <c r="A178" i="15"/>
  <c r="B178" i="15"/>
  <c r="C178" i="15"/>
  <c r="D178" i="15"/>
  <c r="E178" i="15"/>
  <c r="F178" i="15"/>
  <c r="G178" i="15"/>
  <c r="H178" i="15"/>
  <c r="I178" i="15"/>
  <c r="J178" i="15"/>
  <c r="K178" i="15"/>
  <c r="L178" i="15"/>
  <c r="M178" i="15"/>
  <c r="N178" i="15"/>
  <c r="O178" i="15"/>
  <c r="A179" i="15"/>
  <c r="B179" i="15"/>
  <c r="C179" i="15"/>
  <c r="D179" i="15"/>
  <c r="E179" i="15"/>
  <c r="F179" i="15"/>
  <c r="G179" i="15"/>
  <c r="H179" i="15"/>
  <c r="I179" i="15"/>
  <c r="J179" i="15"/>
  <c r="K179" i="15"/>
  <c r="L179" i="15"/>
  <c r="M179" i="15"/>
  <c r="N179" i="15"/>
  <c r="O179" i="15"/>
  <c r="A180" i="15"/>
  <c r="B180" i="15"/>
  <c r="C180" i="15"/>
  <c r="D180" i="15"/>
  <c r="E180" i="15"/>
  <c r="F180" i="15"/>
  <c r="G180" i="15"/>
  <c r="H180" i="15"/>
  <c r="I180" i="15"/>
  <c r="J180" i="15"/>
  <c r="K180" i="15"/>
  <c r="L180" i="15"/>
  <c r="M180" i="15"/>
  <c r="N180" i="15"/>
  <c r="O180" i="15"/>
  <c r="A181" i="15"/>
  <c r="B181" i="15"/>
  <c r="C181" i="15"/>
  <c r="D181" i="15"/>
  <c r="E181" i="15"/>
  <c r="F181" i="15"/>
  <c r="G181" i="15"/>
  <c r="H181" i="15"/>
  <c r="I181" i="15"/>
  <c r="J181" i="15"/>
  <c r="K181" i="15"/>
  <c r="L181" i="15"/>
  <c r="M181" i="15"/>
  <c r="N181" i="15"/>
  <c r="O181" i="15"/>
  <c r="A182" i="15"/>
  <c r="B182" i="15"/>
  <c r="C182" i="15"/>
  <c r="D182" i="15"/>
  <c r="E182" i="15"/>
  <c r="F182" i="15"/>
  <c r="G182" i="15"/>
  <c r="H182" i="15"/>
  <c r="I182" i="15"/>
  <c r="J182" i="15"/>
  <c r="K182" i="15"/>
  <c r="L182" i="15"/>
  <c r="M182" i="15"/>
  <c r="N182" i="15"/>
  <c r="O182" i="15"/>
  <c r="A183" i="15"/>
  <c r="B183" i="15"/>
  <c r="C183" i="15"/>
  <c r="D183" i="15"/>
  <c r="E183" i="15"/>
  <c r="F183" i="15"/>
  <c r="G183" i="15"/>
  <c r="H183" i="15"/>
  <c r="I183" i="15"/>
  <c r="J183" i="15"/>
  <c r="K183" i="15"/>
  <c r="L183" i="15"/>
  <c r="M183" i="15"/>
  <c r="N183" i="15"/>
  <c r="O183" i="15"/>
  <c r="A184" i="15"/>
  <c r="B184" i="15"/>
  <c r="C184" i="15"/>
  <c r="D184" i="15"/>
  <c r="E184" i="15"/>
  <c r="F184" i="15"/>
  <c r="G184" i="15"/>
  <c r="H184" i="15"/>
  <c r="I184" i="15"/>
  <c r="J184" i="15"/>
  <c r="K184" i="15"/>
  <c r="L184" i="15"/>
  <c r="M184" i="15"/>
  <c r="N184" i="15"/>
  <c r="O184" i="15"/>
  <c r="A185" i="15"/>
  <c r="B185" i="15"/>
  <c r="C185" i="15"/>
  <c r="D185" i="15"/>
  <c r="E185" i="15"/>
  <c r="F185" i="15"/>
  <c r="G185" i="15"/>
  <c r="H185" i="15"/>
  <c r="I185" i="15"/>
  <c r="J185" i="15"/>
  <c r="K185" i="15"/>
  <c r="L185" i="15"/>
  <c r="M185" i="15"/>
  <c r="N185" i="15"/>
  <c r="O185" i="15"/>
  <c r="A186" i="15"/>
  <c r="B186" i="15"/>
  <c r="C186" i="15"/>
  <c r="D186" i="15"/>
  <c r="E186" i="15"/>
  <c r="F186" i="15"/>
  <c r="G186" i="15"/>
  <c r="H186" i="15"/>
  <c r="I186" i="15"/>
  <c r="J186" i="15"/>
  <c r="K186" i="15"/>
  <c r="L186" i="15"/>
  <c r="M186" i="15"/>
  <c r="N186" i="15"/>
  <c r="O186" i="15"/>
  <c r="A187" i="15"/>
  <c r="B187" i="15"/>
  <c r="C187" i="15"/>
  <c r="D187" i="15"/>
  <c r="E187" i="15"/>
  <c r="F187" i="15"/>
  <c r="G187" i="15"/>
  <c r="H187" i="15"/>
  <c r="I187" i="15"/>
  <c r="J187" i="15"/>
  <c r="K187" i="15"/>
  <c r="L187" i="15"/>
  <c r="M187" i="15"/>
  <c r="N187" i="15"/>
  <c r="O187" i="15"/>
  <c r="A188" i="15"/>
  <c r="B188" i="15"/>
  <c r="C188" i="15"/>
  <c r="D188" i="15"/>
  <c r="E188" i="15"/>
  <c r="F188" i="15"/>
  <c r="G188" i="15"/>
  <c r="H188" i="15"/>
  <c r="I188" i="15"/>
  <c r="J188" i="15"/>
  <c r="K188" i="15"/>
  <c r="L188" i="15"/>
  <c r="M188" i="15"/>
  <c r="N188" i="15"/>
  <c r="O188" i="15"/>
  <c r="A189" i="15"/>
  <c r="B189" i="15"/>
  <c r="C189" i="15"/>
  <c r="D189" i="15"/>
  <c r="E189" i="15"/>
  <c r="F189" i="15"/>
  <c r="G189" i="15"/>
  <c r="H189" i="15"/>
  <c r="I189" i="15"/>
  <c r="J189" i="15"/>
  <c r="K189" i="15"/>
  <c r="L189" i="15"/>
  <c r="M189" i="15"/>
  <c r="N189" i="15"/>
  <c r="O189" i="15"/>
  <c r="A190" i="15"/>
  <c r="B190" i="15"/>
  <c r="C190" i="15"/>
  <c r="D190" i="15"/>
  <c r="E190" i="15"/>
  <c r="F190" i="15"/>
  <c r="G190" i="15"/>
  <c r="H190" i="15"/>
  <c r="I190" i="15"/>
  <c r="J190" i="15"/>
  <c r="K190" i="15"/>
  <c r="L190" i="15"/>
  <c r="M190" i="15"/>
  <c r="N190" i="15"/>
  <c r="O190" i="15"/>
  <c r="A191" i="15"/>
  <c r="B191" i="15"/>
  <c r="C191" i="15"/>
  <c r="D191" i="15"/>
  <c r="E191" i="15"/>
  <c r="F191" i="15"/>
  <c r="G191" i="15"/>
  <c r="H191" i="15"/>
  <c r="I191" i="15"/>
  <c r="J191" i="15"/>
  <c r="K191" i="15"/>
  <c r="L191" i="15"/>
  <c r="M191" i="15"/>
  <c r="N191" i="15"/>
  <c r="O191" i="15"/>
  <c r="A192" i="15"/>
  <c r="B192" i="15"/>
  <c r="C192" i="15"/>
  <c r="D192" i="15"/>
  <c r="E192" i="15"/>
  <c r="F192" i="15"/>
  <c r="G192" i="15"/>
  <c r="H192" i="15"/>
  <c r="I192" i="15"/>
  <c r="J192" i="15"/>
  <c r="K192" i="15"/>
  <c r="L192" i="15"/>
  <c r="M192" i="15"/>
  <c r="N192" i="15"/>
  <c r="O192" i="15"/>
  <c r="A193" i="15"/>
  <c r="B193" i="15"/>
  <c r="C193" i="15"/>
  <c r="D193" i="15"/>
  <c r="E193" i="15"/>
  <c r="F193" i="15"/>
  <c r="G193" i="15"/>
  <c r="H193" i="15"/>
  <c r="I193" i="15"/>
  <c r="J193" i="15"/>
  <c r="K193" i="15"/>
  <c r="L193" i="15"/>
  <c r="M193" i="15"/>
  <c r="N193" i="15"/>
  <c r="O193" i="15"/>
  <c r="A194" i="15"/>
  <c r="B194" i="15"/>
  <c r="C194" i="15"/>
  <c r="D194" i="15"/>
  <c r="E194" i="15"/>
  <c r="F194" i="15"/>
  <c r="G194" i="15"/>
  <c r="H194" i="15"/>
  <c r="I194" i="15"/>
  <c r="J194" i="15"/>
  <c r="K194" i="15"/>
  <c r="L194" i="15"/>
  <c r="M194" i="15"/>
  <c r="N194" i="15"/>
  <c r="O194" i="15"/>
  <c r="A195" i="15"/>
  <c r="B195" i="15"/>
  <c r="C195" i="15"/>
  <c r="D195" i="15"/>
  <c r="E195" i="15"/>
  <c r="F195" i="15"/>
  <c r="G195" i="15"/>
  <c r="H195" i="15"/>
  <c r="I195" i="15"/>
  <c r="J195" i="15"/>
  <c r="K195" i="15"/>
  <c r="L195" i="15"/>
  <c r="M195" i="15"/>
  <c r="N195" i="15"/>
  <c r="O195" i="15"/>
  <c r="A196" i="15"/>
  <c r="B196" i="15"/>
  <c r="C196" i="15"/>
  <c r="D196" i="15"/>
  <c r="E196" i="15"/>
  <c r="F196" i="15"/>
  <c r="G196" i="15"/>
  <c r="H196" i="15"/>
  <c r="I196" i="15"/>
  <c r="J196" i="15"/>
  <c r="K196" i="15"/>
  <c r="L196" i="15"/>
  <c r="M196" i="15"/>
  <c r="N196" i="15"/>
  <c r="O196" i="15"/>
  <c r="A197" i="15"/>
  <c r="B197" i="15"/>
  <c r="C197" i="15"/>
  <c r="D197" i="15"/>
  <c r="E197" i="15"/>
  <c r="F197" i="15"/>
  <c r="G197" i="15"/>
  <c r="H197" i="15"/>
  <c r="I197" i="15"/>
  <c r="J197" i="15"/>
  <c r="K197" i="15"/>
  <c r="L197" i="15"/>
  <c r="M197" i="15"/>
  <c r="N197" i="15"/>
  <c r="O197" i="15"/>
  <c r="A198" i="15"/>
  <c r="B198" i="15"/>
  <c r="C198" i="15"/>
  <c r="D198" i="15"/>
  <c r="E198" i="15"/>
  <c r="F198" i="15"/>
  <c r="G198" i="15"/>
  <c r="H198" i="15"/>
  <c r="I198" i="15"/>
  <c r="J198" i="15"/>
  <c r="K198" i="15"/>
  <c r="L198" i="15"/>
  <c r="M198" i="15"/>
  <c r="N198" i="15"/>
  <c r="O198" i="15"/>
  <c r="A199" i="15"/>
  <c r="B199" i="15"/>
  <c r="C199" i="15"/>
  <c r="D199" i="15"/>
  <c r="E199" i="15"/>
  <c r="F199" i="15"/>
  <c r="G199" i="15"/>
  <c r="H199" i="15"/>
  <c r="I199" i="15"/>
  <c r="J199" i="15"/>
  <c r="K199" i="15"/>
  <c r="L199" i="15"/>
  <c r="M199" i="15"/>
  <c r="N199" i="15"/>
  <c r="O199" i="15"/>
  <c r="A200" i="15"/>
  <c r="B200" i="15"/>
  <c r="C200" i="15"/>
  <c r="D200" i="15"/>
  <c r="E200" i="15"/>
  <c r="F200" i="15"/>
  <c r="G200" i="15"/>
  <c r="H200" i="15"/>
  <c r="I200" i="15"/>
  <c r="J200" i="15"/>
  <c r="K200" i="15"/>
  <c r="L200" i="15"/>
  <c r="M200" i="15"/>
  <c r="N200" i="15"/>
  <c r="O200" i="15"/>
  <c r="A201" i="15"/>
  <c r="B201" i="15"/>
  <c r="C201" i="15"/>
  <c r="D201" i="15"/>
  <c r="E201" i="15"/>
  <c r="F201" i="15"/>
  <c r="G201" i="15"/>
  <c r="H201" i="15"/>
  <c r="I201" i="15"/>
  <c r="J201" i="15"/>
  <c r="K201" i="15"/>
  <c r="L201" i="15"/>
  <c r="M201" i="15"/>
  <c r="N201" i="15"/>
  <c r="O201" i="15"/>
  <c r="A202" i="15"/>
  <c r="B202" i="15"/>
  <c r="C202" i="15"/>
  <c r="D202" i="15"/>
  <c r="E202" i="15"/>
  <c r="F202" i="15"/>
  <c r="G202" i="15"/>
  <c r="H202" i="15"/>
  <c r="I202" i="15"/>
  <c r="J202" i="15"/>
  <c r="K202" i="15"/>
  <c r="L202" i="15"/>
  <c r="M202" i="15"/>
  <c r="N202" i="15"/>
  <c r="O202" i="15"/>
  <c r="A203" i="15"/>
  <c r="B203" i="15"/>
  <c r="C203" i="15"/>
  <c r="D203" i="15"/>
  <c r="E203" i="15"/>
  <c r="F203" i="15"/>
  <c r="G203" i="15"/>
  <c r="H203" i="15"/>
  <c r="I203" i="15"/>
  <c r="J203" i="15"/>
  <c r="K203" i="15"/>
  <c r="L203" i="15"/>
  <c r="M203" i="15"/>
  <c r="N203" i="15"/>
  <c r="O203" i="15"/>
  <c r="A204" i="15"/>
  <c r="B204" i="15"/>
  <c r="C204" i="15"/>
  <c r="D204" i="15"/>
  <c r="E204" i="15"/>
  <c r="F204" i="15"/>
  <c r="G204" i="15"/>
  <c r="H204" i="15"/>
  <c r="I204" i="15"/>
  <c r="J204" i="15"/>
  <c r="K204" i="15"/>
  <c r="L204" i="15"/>
  <c r="M204" i="15"/>
  <c r="N204" i="15"/>
  <c r="O204" i="15"/>
  <c r="A205" i="15"/>
  <c r="B205" i="15"/>
  <c r="C205" i="15"/>
  <c r="D205" i="15"/>
  <c r="E205" i="15"/>
  <c r="F205" i="15"/>
  <c r="G205" i="15"/>
  <c r="H205" i="15"/>
  <c r="I205" i="15"/>
  <c r="J205" i="15"/>
  <c r="K205" i="15"/>
  <c r="L205" i="15"/>
  <c r="M205" i="15"/>
  <c r="N205" i="15"/>
  <c r="O205" i="15"/>
  <c r="A206" i="15"/>
  <c r="B206" i="15"/>
  <c r="C206" i="15"/>
  <c r="D206" i="15"/>
  <c r="E206" i="15"/>
  <c r="F206" i="15"/>
  <c r="G206" i="15"/>
  <c r="H206" i="15"/>
  <c r="I206" i="15"/>
  <c r="J206" i="15"/>
  <c r="K206" i="15"/>
  <c r="L206" i="15"/>
  <c r="M206" i="15"/>
  <c r="N206" i="15"/>
  <c r="O206" i="15"/>
  <c r="A207" i="15"/>
  <c r="B207" i="15"/>
  <c r="C207" i="15"/>
  <c r="D207" i="15"/>
  <c r="E207" i="15"/>
  <c r="F207" i="15"/>
  <c r="G207" i="15"/>
  <c r="H207" i="15"/>
  <c r="I207" i="15"/>
  <c r="J207" i="15"/>
  <c r="K207" i="15"/>
  <c r="L207" i="15"/>
  <c r="M207" i="15"/>
  <c r="N207" i="15"/>
  <c r="O207" i="15"/>
  <c r="A208" i="15"/>
  <c r="B208" i="15"/>
  <c r="C208" i="15"/>
  <c r="D208" i="15"/>
  <c r="E208" i="15"/>
  <c r="F208" i="15"/>
  <c r="G208" i="15"/>
  <c r="H208" i="15"/>
  <c r="I208" i="15"/>
  <c r="J208" i="15"/>
  <c r="K208" i="15"/>
  <c r="L208" i="15"/>
  <c r="M208" i="15"/>
  <c r="N208" i="15"/>
  <c r="O208" i="15"/>
  <c r="A209" i="15"/>
  <c r="B209" i="15"/>
  <c r="C209" i="15"/>
  <c r="D209" i="15"/>
  <c r="E209" i="15"/>
  <c r="F209" i="15"/>
  <c r="G209" i="15"/>
  <c r="H209" i="15"/>
  <c r="I209" i="15"/>
  <c r="J209" i="15"/>
  <c r="K209" i="15"/>
  <c r="L209" i="15"/>
  <c r="M209" i="15"/>
  <c r="N209" i="15"/>
  <c r="O209" i="15"/>
  <c r="A210" i="15"/>
  <c r="B210" i="15"/>
  <c r="C210" i="15"/>
  <c r="D210" i="15"/>
  <c r="E210" i="15"/>
  <c r="F210" i="15"/>
  <c r="G210" i="15"/>
  <c r="H210" i="15"/>
  <c r="I210" i="15"/>
  <c r="J210" i="15"/>
  <c r="K210" i="15"/>
  <c r="L210" i="15"/>
  <c r="M210" i="15"/>
  <c r="N210" i="15"/>
  <c r="O210" i="15"/>
  <c r="A211" i="15"/>
  <c r="B211" i="15"/>
  <c r="C211" i="15"/>
  <c r="D211" i="15"/>
  <c r="E211" i="15"/>
  <c r="F211" i="15"/>
  <c r="G211" i="15"/>
  <c r="H211" i="15"/>
  <c r="I211" i="15"/>
  <c r="J211" i="15"/>
  <c r="K211" i="15"/>
  <c r="L211" i="15"/>
  <c r="M211" i="15"/>
  <c r="N211" i="15"/>
  <c r="O211" i="15"/>
  <c r="A212" i="15"/>
  <c r="B212" i="15"/>
  <c r="C212" i="15"/>
  <c r="D212" i="15"/>
  <c r="E212" i="15"/>
  <c r="F212" i="15"/>
  <c r="G212" i="15"/>
  <c r="H212" i="15"/>
  <c r="I212" i="15"/>
  <c r="J212" i="15"/>
  <c r="K212" i="15"/>
  <c r="L212" i="15"/>
  <c r="M212" i="15"/>
  <c r="N212" i="15"/>
  <c r="O212" i="15"/>
  <c r="A213" i="15"/>
  <c r="B213" i="15"/>
  <c r="C213" i="15"/>
  <c r="D213" i="15"/>
  <c r="E213" i="15"/>
  <c r="F213" i="15"/>
  <c r="G213" i="15"/>
  <c r="H213" i="15"/>
  <c r="I213" i="15"/>
  <c r="J213" i="15"/>
  <c r="K213" i="15"/>
  <c r="L213" i="15"/>
  <c r="M213" i="15"/>
  <c r="N213" i="15"/>
  <c r="O213" i="15"/>
  <c r="A214" i="15"/>
  <c r="B214" i="15"/>
  <c r="C214" i="15"/>
  <c r="D214" i="15"/>
  <c r="E214" i="15"/>
  <c r="F214" i="15"/>
  <c r="G214" i="15"/>
  <c r="H214" i="15"/>
  <c r="I214" i="15"/>
  <c r="J214" i="15"/>
  <c r="K214" i="15"/>
  <c r="L214" i="15"/>
  <c r="M214" i="15"/>
  <c r="N214" i="15"/>
  <c r="O214" i="15"/>
  <c r="A215" i="15"/>
  <c r="B215" i="15"/>
  <c r="C215" i="15"/>
  <c r="D215" i="15"/>
  <c r="E215" i="15"/>
  <c r="F215" i="15"/>
  <c r="G215" i="15"/>
  <c r="H215" i="15"/>
  <c r="I215" i="15"/>
  <c r="J215" i="15"/>
  <c r="K215" i="15"/>
  <c r="L215" i="15"/>
  <c r="M215" i="15"/>
  <c r="N215" i="15"/>
  <c r="O215" i="15"/>
  <c r="A216" i="15"/>
  <c r="B216" i="15"/>
  <c r="C216" i="15"/>
  <c r="D216" i="15"/>
  <c r="E216" i="15"/>
  <c r="F216" i="15"/>
  <c r="G216" i="15"/>
  <c r="H216" i="15"/>
  <c r="I216" i="15"/>
  <c r="J216" i="15"/>
  <c r="K216" i="15"/>
  <c r="L216" i="15"/>
  <c r="M216" i="15"/>
  <c r="N216" i="15"/>
  <c r="O216" i="15"/>
  <c r="A217" i="15"/>
  <c r="B217" i="15"/>
  <c r="C217" i="15"/>
  <c r="D217" i="15"/>
  <c r="E217" i="15"/>
  <c r="F217" i="15"/>
  <c r="G217" i="15"/>
  <c r="H217" i="15"/>
  <c r="I217" i="15"/>
  <c r="J217" i="15"/>
  <c r="K217" i="15"/>
  <c r="L217" i="15"/>
  <c r="M217" i="15"/>
  <c r="N217" i="15"/>
  <c r="O217" i="15"/>
  <c r="A218" i="15"/>
  <c r="B218" i="15"/>
  <c r="C218" i="15"/>
  <c r="D218" i="15"/>
  <c r="E218" i="15"/>
  <c r="F218" i="15"/>
  <c r="G218" i="15"/>
  <c r="H218" i="15"/>
  <c r="I218" i="15"/>
  <c r="J218" i="15"/>
  <c r="K218" i="15"/>
  <c r="L218" i="15"/>
  <c r="M218" i="15"/>
  <c r="N218" i="15"/>
  <c r="O218" i="15"/>
  <c r="A219" i="15"/>
  <c r="B219" i="15"/>
  <c r="C219" i="15"/>
  <c r="D219" i="15"/>
  <c r="E219" i="15"/>
  <c r="F219" i="15"/>
  <c r="G219" i="15"/>
  <c r="H219" i="15"/>
  <c r="I219" i="15"/>
  <c r="J219" i="15"/>
  <c r="K219" i="15"/>
  <c r="L219" i="15"/>
  <c r="M219" i="15"/>
  <c r="N219" i="15"/>
  <c r="O219" i="15"/>
  <c r="A220" i="15"/>
  <c r="B220" i="15"/>
  <c r="C220" i="15"/>
  <c r="D220" i="15"/>
  <c r="E220" i="15"/>
  <c r="F220" i="15"/>
  <c r="G220" i="15"/>
  <c r="H220" i="15"/>
  <c r="I220" i="15"/>
  <c r="J220" i="15"/>
  <c r="K220" i="15"/>
  <c r="L220" i="15"/>
  <c r="M220" i="15"/>
  <c r="N220" i="15"/>
  <c r="O220" i="15"/>
  <c r="A221" i="15"/>
  <c r="B221" i="15"/>
  <c r="C221" i="15"/>
  <c r="D221" i="15"/>
  <c r="E221" i="15"/>
  <c r="F221" i="15"/>
  <c r="G221" i="15"/>
  <c r="H221" i="15"/>
  <c r="I221" i="15"/>
  <c r="J221" i="15"/>
  <c r="K221" i="15"/>
  <c r="L221" i="15"/>
  <c r="M221" i="15"/>
  <c r="N221" i="15"/>
  <c r="O221" i="15"/>
  <c r="A222" i="15"/>
  <c r="B222" i="15"/>
  <c r="C222" i="15"/>
  <c r="D222" i="15"/>
  <c r="E222" i="15"/>
  <c r="F222" i="15"/>
  <c r="G222" i="15"/>
  <c r="H222" i="15"/>
  <c r="I222" i="15"/>
  <c r="J222" i="15"/>
  <c r="K222" i="15"/>
  <c r="L222" i="15"/>
  <c r="M222" i="15"/>
  <c r="N222" i="15"/>
  <c r="O222" i="15"/>
  <c r="A223" i="15"/>
  <c r="B223" i="15"/>
  <c r="C223" i="15"/>
  <c r="D223" i="15"/>
  <c r="E223" i="15"/>
  <c r="F223" i="15"/>
  <c r="G223" i="15"/>
  <c r="H223" i="15"/>
  <c r="I223" i="15"/>
  <c r="J223" i="15"/>
  <c r="K223" i="15"/>
  <c r="L223" i="15"/>
  <c r="M223" i="15"/>
  <c r="N223" i="15"/>
  <c r="O223" i="15"/>
  <c r="A224" i="15"/>
  <c r="B224" i="15"/>
  <c r="C224" i="15"/>
  <c r="D224" i="15"/>
  <c r="E224" i="15"/>
  <c r="F224" i="15"/>
  <c r="G224" i="15"/>
  <c r="H224" i="15"/>
  <c r="I224" i="15"/>
  <c r="J224" i="15"/>
  <c r="K224" i="15"/>
  <c r="L224" i="15"/>
  <c r="M224" i="15"/>
  <c r="N224" i="15"/>
  <c r="O224" i="15"/>
  <c r="A225" i="15"/>
  <c r="B225" i="15"/>
  <c r="C225" i="15"/>
  <c r="D225" i="15"/>
  <c r="E225" i="15"/>
  <c r="F225" i="15"/>
  <c r="G225" i="15"/>
  <c r="H225" i="15"/>
  <c r="I225" i="15"/>
  <c r="J225" i="15"/>
  <c r="K225" i="15"/>
  <c r="L225" i="15"/>
  <c r="M225" i="15"/>
  <c r="N225" i="15"/>
  <c r="O225" i="15"/>
  <c r="A226" i="15"/>
  <c r="B226" i="15"/>
  <c r="C226" i="15"/>
  <c r="D226" i="15"/>
  <c r="E226" i="15"/>
  <c r="F226" i="15"/>
  <c r="G226" i="15"/>
  <c r="H226" i="15"/>
  <c r="I226" i="15"/>
  <c r="J226" i="15"/>
  <c r="K226" i="15"/>
  <c r="L226" i="15"/>
  <c r="M226" i="15"/>
  <c r="N226" i="15"/>
  <c r="O226" i="15"/>
  <c r="A227" i="15"/>
  <c r="B227" i="15"/>
  <c r="C227" i="15"/>
  <c r="D227" i="15"/>
  <c r="E227" i="15"/>
  <c r="F227" i="15"/>
  <c r="G227" i="15"/>
  <c r="H227" i="15"/>
  <c r="I227" i="15"/>
  <c r="J227" i="15"/>
  <c r="K227" i="15"/>
  <c r="L227" i="15"/>
  <c r="M227" i="15"/>
  <c r="N227" i="15"/>
  <c r="O227" i="15"/>
  <c r="A228" i="15"/>
  <c r="B228" i="15"/>
  <c r="C228" i="15"/>
  <c r="D228" i="15"/>
  <c r="E228" i="15"/>
  <c r="F228" i="15"/>
  <c r="G228" i="15"/>
  <c r="H228" i="15"/>
  <c r="I228" i="15"/>
  <c r="J228" i="15"/>
  <c r="K228" i="15"/>
  <c r="L228" i="15"/>
  <c r="M228" i="15"/>
  <c r="N228" i="15"/>
  <c r="O228" i="15"/>
  <c r="A229" i="15"/>
  <c r="B229" i="15"/>
  <c r="C229" i="15"/>
  <c r="D229" i="15"/>
  <c r="E229" i="15"/>
  <c r="F229" i="15"/>
  <c r="G229" i="15"/>
  <c r="H229" i="15"/>
  <c r="I229" i="15"/>
  <c r="J229" i="15"/>
  <c r="K229" i="15"/>
  <c r="L229" i="15"/>
  <c r="M229" i="15"/>
  <c r="N229" i="15"/>
  <c r="O229" i="15"/>
  <c r="A230" i="15"/>
  <c r="B230" i="15"/>
  <c r="C230" i="15"/>
  <c r="D230" i="15"/>
  <c r="E230" i="15"/>
  <c r="F230" i="15"/>
  <c r="G230" i="15"/>
  <c r="H230" i="15"/>
  <c r="I230" i="15"/>
  <c r="J230" i="15"/>
  <c r="K230" i="15"/>
  <c r="L230" i="15"/>
  <c r="M230" i="15"/>
  <c r="N230" i="15"/>
  <c r="O230" i="15"/>
  <c r="A231" i="15"/>
  <c r="B231" i="15"/>
  <c r="C231" i="15"/>
  <c r="D231" i="15"/>
  <c r="E231" i="15"/>
  <c r="F231" i="15"/>
  <c r="G231" i="15"/>
  <c r="H231" i="15"/>
  <c r="I231" i="15"/>
  <c r="J231" i="15"/>
  <c r="K231" i="15"/>
  <c r="L231" i="15"/>
  <c r="M231" i="15"/>
  <c r="N231" i="15"/>
  <c r="O231" i="15"/>
  <c r="A232" i="15"/>
  <c r="B232" i="15"/>
  <c r="C232" i="15"/>
  <c r="D232" i="15"/>
  <c r="E232" i="15"/>
  <c r="F232" i="15"/>
  <c r="G232" i="15"/>
  <c r="H232" i="15"/>
  <c r="I232" i="15"/>
  <c r="J232" i="15"/>
  <c r="K232" i="15"/>
  <c r="L232" i="15"/>
  <c r="M232" i="15"/>
  <c r="N232" i="15"/>
  <c r="O232" i="15"/>
  <c r="A233" i="15"/>
  <c r="B233" i="15"/>
  <c r="C233" i="15"/>
  <c r="D233" i="15"/>
  <c r="E233" i="15"/>
  <c r="F233" i="15"/>
  <c r="G233" i="15"/>
  <c r="H233" i="15"/>
  <c r="I233" i="15"/>
  <c r="J233" i="15"/>
  <c r="K233" i="15"/>
  <c r="L233" i="15"/>
  <c r="M233" i="15"/>
  <c r="N233" i="15"/>
  <c r="O233" i="15"/>
  <c r="A234" i="15"/>
  <c r="B234" i="15"/>
  <c r="C234" i="15"/>
  <c r="D234" i="15"/>
  <c r="E234" i="15"/>
  <c r="F234" i="15"/>
  <c r="G234" i="15"/>
  <c r="H234" i="15"/>
  <c r="I234" i="15"/>
  <c r="J234" i="15"/>
  <c r="K234" i="15"/>
  <c r="L234" i="15"/>
  <c r="M234" i="15"/>
  <c r="N234" i="15"/>
  <c r="O234" i="15"/>
  <c r="A235" i="15"/>
  <c r="B235" i="15"/>
  <c r="C235" i="15"/>
  <c r="D235" i="15"/>
  <c r="E235" i="15"/>
  <c r="F235" i="15"/>
  <c r="G235" i="15"/>
  <c r="H235" i="15"/>
  <c r="I235" i="15"/>
  <c r="J235" i="15"/>
  <c r="K235" i="15"/>
  <c r="L235" i="15"/>
  <c r="M235" i="15"/>
  <c r="N235" i="15"/>
  <c r="O235" i="15"/>
  <c r="A236" i="15"/>
  <c r="B236" i="15"/>
  <c r="C236" i="15"/>
  <c r="D236" i="15"/>
  <c r="E236" i="15"/>
  <c r="F236" i="15"/>
  <c r="G236" i="15"/>
  <c r="H236" i="15"/>
  <c r="I236" i="15"/>
  <c r="J236" i="15"/>
  <c r="K236" i="15"/>
  <c r="L236" i="15"/>
  <c r="M236" i="15"/>
  <c r="N236" i="15"/>
  <c r="O236" i="15"/>
  <c r="A237" i="15"/>
  <c r="B237" i="15"/>
  <c r="C237" i="15"/>
  <c r="D237" i="15"/>
  <c r="E237" i="15"/>
  <c r="F237" i="15"/>
  <c r="G237" i="15"/>
  <c r="H237" i="15"/>
  <c r="I237" i="15"/>
  <c r="J237" i="15"/>
  <c r="K237" i="15"/>
  <c r="L237" i="15"/>
  <c r="M237" i="15"/>
  <c r="N237" i="15"/>
  <c r="O237" i="15"/>
  <c r="A238" i="15"/>
  <c r="B238" i="15"/>
  <c r="C238" i="15"/>
  <c r="D238" i="15"/>
  <c r="E238" i="15"/>
  <c r="F238" i="15"/>
  <c r="G238" i="15"/>
  <c r="H238" i="15"/>
  <c r="I238" i="15"/>
  <c r="J238" i="15"/>
  <c r="K238" i="15"/>
  <c r="L238" i="15"/>
  <c r="M238" i="15"/>
  <c r="N238" i="15"/>
  <c r="O238" i="15"/>
  <c r="A239" i="15"/>
  <c r="B239" i="15"/>
  <c r="C239" i="15"/>
  <c r="D239" i="15"/>
  <c r="E239" i="15"/>
  <c r="F239" i="15"/>
  <c r="G239" i="15"/>
  <c r="H239" i="15"/>
  <c r="I239" i="15"/>
  <c r="J239" i="15"/>
  <c r="K239" i="15"/>
  <c r="L239" i="15"/>
  <c r="M239" i="15"/>
  <c r="N239" i="15"/>
  <c r="O239" i="15"/>
  <c r="A240" i="15"/>
  <c r="B240" i="15"/>
  <c r="C240" i="15"/>
  <c r="D240" i="15"/>
  <c r="E240" i="15"/>
  <c r="F240" i="15"/>
  <c r="G240" i="15"/>
  <c r="H240" i="15"/>
  <c r="I240" i="15"/>
  <c r="J240" i="15"/>
  <c r="K240" i="15"/>
  <c r="L240" i="15"/>
  <c r="M240" i="15"/>
  <c r="N240" i="15"/>
  <c r="O240" i="15"/>
  <c r="A241" i="15"/>
  <c r="B241" i="15"/>
  <c r="C241" i="15"/>
  <c r="D241" i="15"/>
  <c r="E241" i="15"/>
  <c r="F241" i="15"/>
  <c r="G241" i="15"/>
  <c r="H241" i="15"/>
  <c r="I241" i="15"/>
  <c r="J241" i="15"/>
  <c r="K241" i="15"/>
  <c r="L241" i="15"/>
  <c r="M241" i="15"/>
  <c r="N241" i="15"/>
  <c r="O241" i="15"/>
  <c r="A242" i="15"/>
  <c r="B242" i="15"/>
  <c r="C242" i="15"/>
  <c r="D242" i="15"/>
  <c r="E242" i="15"/>
  <c r="F242" i="15"/>
  <c r="G242" i="15"/>
  <c r="H242" i="15"/>
  <c r="I242" i="15"/>
  <c r="J242" i="15"/>
  <c r="K242" i="15"/>
  <c r="L242" i="15"/>
  <c r="M242" i="15"/>
  <c r="N242" i="15"/>
  <c r="O242" i="15"/>
  <c r="A243" i="15"/>
  <c r="B243" i="15"/>
  <c r="C243" i="15"/>
  <c r="D243" i="15"/>
  <c r="E243" i="15"/>
  <c r="F243" i="15"/>
  <c r="G243" i="15"/>
  <c r="H243" i="15"/>
  <c r="I243" i="15"/>
  <c r="J243" i="15"/>
  <c r="K243" i="15"/>
  <c r="L243" i="15"/>
  <c r="M243" i="15"/>
  <c r="N243" i="15"/>
  <c r="O243" i="15"/>
  <c r="A244" i="15"/>
  <c r="B244" i="15"/>
  <c r="C244" i="15"/>
  <c r="D244" i="15"/>
  <c r="E244" i="15"/>
  <c r="F244" i="15"/>
  <c r="G244" i="15"/>
  <c r="H244" i="15"/>
  <c r="I244" i="15"/>
  <c r="J244" i="15"/>
  <c r="K244" i="15"/>
  <c r="L244" i="15"/>
  <c r="M244" i="15"/>
  <c r="N244" i="15"/>
  <c r="O244" i="15"/>
  <c r="A245" i="15"/>
  <c r="B245" i="15"/>
  <c r="C245" i="15"/>
  <c r="D245" i="15"/>
  <c r="E245" i="15"/>
  <c r="F245" i="15"/>
  <c r="G245" i="15"/>
  <c r="H245" i="15"/>
  <c r="I245" i="15"/>
  <c r="J245" i="15"/>
  <c r="K245" i="15"/>
  <c r="L245" i="15"/>
  <c r="M245" i="15"/>
  <c r="N245" i="15"/>
  <c r="O245" i="15"/>
  <c r="A246" i="15"/>
  <c r="B246" i="15"/>
  <c r="C246" i="15"/>
  <c r="D246" i="15"/>
  <c r="E246" i="15"/>
  <c r="F246" i="15"/>
  <c r="G246" i="15"/>
  <c r="H246" i="15"/>
  <c r="I246" i="15"/>
  <c r="J246" i="15"/>
  <c r="K246" i="15"/>
  <c r="L246" i="15"/>
  <c r="M246" i="15"/>
  <c r="N246" i="15"/>
  <c r="O246" i="15"/>
  <c r="A247" i="15"/>
  <c r="B247" i="15"/>
  <c r="C247" i="15"/>
  <c r="D247" i="15"/>
  <c r="E247" i="15"/>
  <c r="F247" i="15"/>
  <c r="G247" i="15"/>
  <c r="H247" i="15"/>
  <c r="I247" i="15"/>
  <c r="J247" i="15"/>
  <c r="K247" i="15"/>
  <c r="L247" i="15"/>
  <c r="M247" i="15"/>
  <c r="N247" i="15"/>
  <c r="O247" i="15"/>
  <c r="A248" i="15"/>
  <c r="B248" i="15"/>
  <c r="C248" i="15"/>
  <c r="D248" i="15"/>
  <c r="E248" i="15"/>
  <c r="F248" i="15"/>
  <c r="G248" i="15"/>
  <c r="H248" i="15"/>
  <c r="I248" i="15"/>
  <c r="J248" i="15"/>
  <c r="K248" i="15"/>
  <c r="L248" i="15"/>
  <c r="M248" i="15"/>
  <c r="N248" i="15"/>
  <c r="O248" i="15"/>
  <c r="A249" i="15"/>
  <c r="B249" i="15"/>
  <c r="C249" i="15"/>
  <c r="D249" i="15"/>
  <c r="E249" i="15"/>
  <c r="F249" i="15"/>
  <c r="G249" i="15"/>
  <c r="H249" i="15"/>
  <c r="I249" i="15"/>
  <c r="J249" i="15"/>
  <c r="K249" i="15"/>
  <c r="L249" i="15"/>
  <c r="M249" i="15"/>
  <c r="N249" i="15"/>
  <c r="O249" i="15"/>
  <c r="A250" i="15"/>
  <c r="B250" i="15"/>
  <c r="C250" i="15"/>
  <c r="D250" i="15"/>
  <c r="E250" i="15"/>
  <c r="F250" i="15"/>
  <c r="G250" i="15"/>
  <c r="H250" i="15"/>
  <c r="I250" i="15"/>
  <c r="J250" i="15"/>
  <c r="K250" i="15"/>
  <c r="L250" i="15"/>
  <c r="M250" i="15"/>
  <c r="N250" i="15"/>
  <c r="O250" i="15"/>
  <c r="A251" i="15"/>
  <c r="B251" i="15"/>
  <c r="C251" i="15"/>
  <c r="D251" i="15"/>
  <c r="E251" i="15"/>
  <c r="F251" i="15"/>
  <c r="G251" i="15"/>
  <c r="H251" i="15"/>
  <c r="I251" i="15"/>
  <c r="J251" i="15"/>
  <c r="K251" i="15"/>
  <c r="L251" i="15"/>
  <c r="M251" i="15"/>
  <c r="N251" i="15"/>
  <c r="O251" i="15"/>
  <c r="A252" i="15"/>
  <c r="B252" i="15"/>
  <c r="C252" i="15"/>
  <c r="D252" i="15"/>
  <c r="E252" i="15"/>
  <c r="F252" i="15"/>
  <c r="G252" i="15"/>
  <c r="H252" i="15"/>
  <c r="I252" i="15"/>
  <c r="J252" i="15"/>
  <c r="K252" i="15"/>
  <c r="L252" i="15"/>
  <c r="M252" i="15"/>
  <c r="N252" i="15"/>
  <c r="O252" i="15"/>
  <c r="A253" i="15"/>
  <c r="B253" i="15"/>
  <c r="C253" i="15"/>
  <c r="D253" i="15"/>
  <c r="E253" i="15"/>
  <c r="F253" i="15"/>
  <c r="G253" i="15"/>
  <c r="H253" i="15"/>
  <c r="I253" i="15"/>
  <c r="J253" i="15"/>
  <c r="K253" i="15"/>
  <c r="L253" i="15"/>
  <c r="M253" i="15"/>
  <c r="N253" i="15"/>
  <c r="O253" i="15"/>
  <c r="A254" i="15"/>
  <c r="B254" i="15"/>
  <c r="C254" i="15"/>
  <c r="D254" i="15"/>
  <c r="E254" i="15"/>
  <c r="F254" i="15"/>
  <c r="G254" i="15"/>
  <c r="H254" i="15"/>
  <c r="I254" i="15"/>
  <c r="J254" i="15"/>
  <c r="K254" i="15"/>
  <c r="L254" i="15"/>
  <c r="M254" i="15"/>
  <c r="N254" i="15"/>
  <c r="O254" i="15"/>
  <c r="A255" i="15"/>
  <c r="B255" i="15"/>
  <c r="C255" i="15"/>
  <c r="D255" i="15"/>
  <c r="E255" i="15"/>
  <c r="F255" i="15"/>
  <c r="G255" i="15"/>
  <c r="H255" i="15"/>
  <c r="I255" i="15"/>
  <c r="J255" i="15"/>
  <c r="K255" i="15"/>
  <c r="L255" i="15"/>
  <c r="M255" i="15"/>
  <c r="N255" i="15"/>
  <c r="O255" i="15"/>
  <c r="A256" i="15"/>
  <c r="B256" i="15"/>
  <c r="C256" i="15"/>
  <c r="D256" i="15"/>
  <c r="E256" i="15"/>
  <c r="F256" i="15"/>
  <c r="G256" i="15"/>
  <c r="H256" i="15"/>
  <c r="I256" i="15"/>
  <c r="J256" i="15"/>
  <c r="K256" i="15"/>
  <c r="L256" i="15"/>
  <c r="M256" i="15"/>
  <c r="N256" i="15"/>
  <c r="O256" i="15"/>
  <c r="A257" i="15"/>
  <c r="B257" i="15"/>
  <c r="C257" i="15"/>
  <c r="D257" i="15"/>
  <c r="E257" i="15"/>
  <c r="F257" i="15"/>
  <c r="G257" i="15"/>
  <c r="H257" i="15"/>
  <c r="I257" i="15"/>
  <c r="J257" i="15"/>
  <c r="K257" i="15"/>
  <c r="L257" i="15"/>
  <c r="M257" i="15"/>
  <c r="N257" i="15"/>
  <c r="O257" i="15"/>
  <c r="A258" i="15"/>
  <c r="B258" i="15"/>
  <c r="C258" i="15"/>
  <c r="D258" i="15"/>
  <c r="E258" i="15"/>
  <c r="F258" i="15"/>
  <c r="G258" i="15"/>
  <c r="H258" i="15"/>
  <c r="I258" i="15"/>
  <c r="J258" i="15"/>
  <c r="K258" i="15"/>
  <c r="L258" i="15"/>
  <c r="M258" i="15"/>
  <c r="N258" i="15"/>
  <c r="O258" i="15"/>
  <c r="A259" i="15"/>
  <c r="B259" i="15"/>
  <c r="C259" i="15"/>
  <c r="D259" i="15"/>
  <c r="E259" i="15"/>
  <c r="F259" i="15"/>
  <c r="G259" i="15"/>
  <c r="H259" i="15"/>
  <c r="I259" i="15"/>
  <c r="J259" i="15"/>
  <c r="K259" i="15"/>
  <c r="L259" i="15"/>
  <c r="M259" i="15"/>
  <c r="N259" i="15"/>
  <c r="O259" i="15"/>
  <c r="A260" i="15"/>
  <c r="B260" i="15"/>
  <c r="C260" i="15"/>
  <c r="D260" i="15"/>
  <c r="E260" i="15"/>
  <c r="F260" i="15"/>
  <c r="G260" i="15"/>
  <c r="H260" i="15"/>
  <c r="I260" i="15"/>
  <c r="J260" i="15"/>
  <c r="K260" i="15"/>
  <c r="L260" i="15"/>
  <c r="M260" i="15"/>
  <c r="N260" i="15"/>
  <c r="O260" i="15"/>
  <c r="A261" i="15"/>
  <c r="B261" i="15"/>
  <c r="C261" i="15"/>
  <c r="D261" i="15"/>
  <c r="E261" i="15"/>
  <c r="F261" i="15"/>
  <c r="G261" i="15"/>
  <c r="H261" i="15"/>
  <c r="I261" i="15"/>
  <c r="J261" i="15"/>
  <c r="K261" i="15"/>
  <c r="L261" i="15"/>
  <c r="M261" i="15"/>
  <c r="N261" i="15"/>
  <c r="O261" i="15"/>
  <c r="A262" i="15"/>
  <c r="B262" i="15"/>
  <c r="C262" i="15"/>
  <c r="D262" i="15"/>
  <c r="E262" i="15"/>
  <c r="F262" i="15"/>
  <c r="G262" i="15"/>
  <c r="H262" i="15"/>
  <c r="I262" i="15"/>
  <c r="J262" i="15"/>
  <c r="K262" i="15"/>
  <c r="L262" i="15"/>
  <c r="M262" i="15"/>
  <c r="N262" i="15"/>
  <c r="O262" i="15"/>
  <c r="A263" i="15"/>
  <c r="B263" i="15"/>
  <c r="C263" i="15"/>
  <c r="D263" i="15"/>
  <c r="E263" i="15"/>
  <c r="F263" i="15"/>
  <c r="G263" i="15"/>
  <c r="H263" i="15"/>
  <c r="I263" i="15"/>
  <c r="J263" i="15"/>
  <c r="K263" i="15"/>
  <c r="L263" i="15"/>
  <c r="M263" i="15"/>
  <c r="N263" i="15"/>
  <c r="O263" i="15"/>
  <c r="A264" i="15"/>
  <c r="B264" i="15"/>
  <c r="C264" i="15"/>
  <c r="D264" i="15"/>
  <c r="E264" i="15"/>
  <c r="F264" i="15"/>
  <c r="G264" i="15"/>
  <c r="H264" i="15"/>
  <c r="I264" i="15"/>
  <c r="J264" i="15"/>
  <c r="K264" i="15"/>
  <c r="L264" i="15"/>
  <c r="M264" i="15"/>
  <c r="N264" i="15"/>
  <c r="O264" i="15"/>
  <c r="A265" i="15"/>
  <c r="B265" i="15"/>
  <c r="C265" i="15"/>
  <c r="D265" i="15"/>
  <c r="E265" i="15"/>
  <c r="F265" i="15"/>
  <c r="G265" i="15"/>
  <c r="H265" i="15"/>
  <c r="I265" i="15"/>
  <c r="J265" i="15"/>
  <c r="K265" i="15"/>
  <c r="L265" i="15"/>
  <c r="M265" i="15"/>
  <c r="N265" i="15"/>
  <c r="O265" i="15"/>
  <c r="A266" i="15"/>
  <c r="B266" i="15"/>
  <c r="C266" i="15"/>
  <c r="D266" i="15"/>
  <c r="E266" i="15"/>
  <c r="F266" i="15"/>
  <c r="G266" i="15"/>
  <c r="H266" i="15"/>
  <c r="I266" i="15"/>
  <c r="J266" i="15"/>
  <c r="K266" i="15"/>
  <c r="L266" i="15"/>
  <c r="M266" i="15"/>
  <c r="N266" i="15"/>
  <c r="O266" i="15"/>
  <c r="A267" i="15"/>
  <c r="B267" i="15"/>
  <c r="C267" i="15"/>
  <c r="D267" i="15"/>
  <c r="E267" i="15"/>
  <c r="F267" i="15"/>
  <c r="G267" i="15"/>
  <c r="H267" i="15"/>
  <c r="I267" i="15"/>
  <c r="J267" i="15"/>
  <c r="K267" i="15"/>
  <c r="L267" i="15"/>
  <c r="M267" i="15"/>
  <c r="N267" i="15"/>
  <c r="O267" i="15"/>
  <c r="A268" i="15"/>
  <c r="B268" i="15"/>
  <c r="C268" i="15"/>
  <c r="D268" i="15"/>
  <c r="E268" i="15"/>
  <c r="F268" i="15"/>
  <c r="G268" i="15"/>
  <c r="H268" i="15"/>
  <c r="I268" i="15"/>
  <c r="J268" i="15"/>
  <c r="K268" i="15"/>
  <c r="L268" i="15"/>
  <c r="M268" i="15"/>
  <c r="N268" i="15"/>
  <c r="O268" i="15"/>
  <c r="A269" i="15"/>
  <c r="B269" i="15"/>
  <c r="C269" i="15"/>
  <c r="D269" i="15"/>
  <c r="E269" i="15"/>
  <c r="F269" i="15"/>
  <c r="G269" i="15"/>
  <c r="H269" i="15"/>
  <c r="I269" i="15"/>
  <c r="J269" i="15"/>
  <c r="K269" i="15"/>
  <c r="L269" i="15"/>
  <c r="M269" i="15"/>
  <c r="N269" i="15"/>
  <c r="O269" i="15"/>
  <c r="A270" i="15"/>
  <c r="B270" i="15"/>
  <c r="C270" i="15"/>
  <c r="D270" i="15"/>
  <c r="E270" i="15"/>
  <c r="F270" i="15"/>
  <c r="G270" i="15"/>
  <c r="H270" i="15"/>
  <c r="I270" i="15"/>
  <c r="J270" i="15"/>
  <c r="K270" i="15"/>
  <c r="L270" i="15"/>
  <c r="M270" i="15"/>
  <c r="N270" i="15"/>
  <c r="O270" i="15"/>
  <c r="A271" i="15"/>
  <c r="B271" i="15"/>
  <c r="C271" i="15"/>
  <c r="D271" i="15"/>
  <c r="E271" i="15"/>
  <c r="F271" i="15"/>
  <c r="G271" i="15"/>
  <c r="H271" i="15"/>
  <c r="I271" i="15"/>
  <c r="J271" i="15"/>
  <c r="K271" i="15"/>
  <c r="L271" i="15"/>
  <c r="M271" i="15"/>
  <c r="N271" i="15"/>
  <c r="O271" i="15"/>
  <c r="A272" i="15"/>
  <c r="B272" i="15"/>
  <c r="C272" i="15"/>
  <c r="D272" i="15"/>
  <c r="E272" i="15"/>
  <c r="F272" i="15"/>
  <c r="G272" i="15"/>
  <c r="H272" i="15"/>
  <c r="I272" i="15"/>
  <c r="J272" i="15"/>
  <c r="K272" i="15"/>
  <c r="L272" i="15"/>
  <c r="M272" i="15"/>
  <c r="N272" i="15"/>
  <c r="O272" i="15"/>
  <c r="A273" i="15"/>
  <c r="B273" i="15"/>
  <c r="C273" i="15"/>
  <c r="D273" i="15"/>
  <c r="E273" i="15"/>
  <c r="F273" i="15"/>
  <c r="G273" i="15"/>
  <c r="H273" i="15"/>
  <c r="I273" i="15"/>
  <c r="J273" i="15"/>
  <c r="K273" i="15"/>
  <c r="L273" i="15"/>
  <c r="M273" i="15"/>
  <c r="N273" i="15"/>
  <c r="O273" i="15"/>
  <c r="A274" i="15"/>
  <c r="B274" i="15"/>
  <c r="C274" i="15"/>
  <c r="D274" i="15"/>
  <c r="E274" i="15"/>
  <c r="F274" i="15"/>
  <c r="G274" i="15"/>
  <c r="H274" i="15"/>
  <c r="I274" i="15"/>
  <c r="J274" i="15"/>
  <c r="K274" i="15"/>
  <c r="L274" i="15"/>
  <c r="M274" i="15"/>
  <c r="N274" i="15"/>
  <c r="O274" i="15"/>
  <c r="A275" i="15"/>
  <c r="B275" i="15"/>
  <c r="C275" i="15"/>
  <c r="D275" i="15"/>
  <c r="E275" i="15"/>
  <c r="F275" i="15"/>
  <c r="G275" i="15"/>
  <c r="H275" i="15"/>
  <c r="I275" i="15"/>
  <c r="J275" i="15"/>
  <c r="K275" i="15"/>
  <c r="L275" i="15"/>
  <c r="M275" i="15"/>
  <c r="N275" i="15"/>
  <c r="O275" i="15"/>
  <c r="A276" i="15"/>
  <c r="B276" i="15"/>
  <c r="C276" i="15"/>
  <c r="D276" i="15"/>
  <c r="E276" i="15"/>
  <c r="F276" i="15"/>
  <c r="G276" i="15"/>
  <c r="H276" i="15"/>
  <c r="I276" i="15"/>
  <c r="J276" i="15"/>
  <c r="K276" i="15"/>
  <c r="L276" i="15"/>
  <c r="M276" i="15"/>
  <c r="N276" i="15"/>
  <c r="O276" i="15"/>
  <c r="A277" i="15"/>
  <c r="B277" i="15"/>
  <c r="C277" i="15"/>
  <c r="D277" i="15"/>
  <c r="E277" i="15"/>
  <c r="F277" i="15"/>
  <c r="G277" i="15"/>
  <c r="H277" i="15"/>
  <c r="I277" i="15"/>
  <c r="J277" i="15"/>
  <c r="K277" i="15"/>
  <c r="L277" i="15"/>
  <c r="M277" i="15"/>
  <c r="N277" i="15"/>
  <c r="O277" i="15"/>
  <c r="A278" i="15"/>
  <c r="B278" i="15"/>
  <c r="C278" i="15"/>
  <c r="D278" i="15"/>
  <c r="E278" i="15"/>
  <c r="F278" i="15"/>
  <c r="G278" i="15"/>
  <c r="H278" i="15"/>
  <c r="I278" i="15"/>
  <c r="J278" i="15"/>
  <c r="K278" i="15"/>
  <c r="L278" i="15"/>
  <c r="M278" i="15"/>
  <c r="N278" i="15"/>
  <c r="O278" i="15"/>
  <c r="A279" i="15"/>
  <c r="B279" i="15"/>
  <c r="C279" i="15"/>
  <c r="D279" i="15"/>
  <c r="E279" i="15"/>
  <c r="F279" i="15"/>
  <c r="G279" i="15"/>
  <c r="H279" i="15"/>
  <c r="I279" i="15"/>
  <c r="J279" i="15"/>
  <c r="K279" i="15"/>
  <c r="L279" i="15"/>
  <c r="M279" i="15"/>
  <c r="N279" i="15"/>
  <c r="O279" i="15"/>
  <c r="A280" i="15"/>
  <c r="B280" i="15"/>
  <c r="C280" i="15"/>
  <c r="D280" i="15"/>
  <c r="E280" i="15"/>
  <c r="F280" i="15"/>
  <c r="G280" i="15"/>
  <c r="H280" i="15"/>
  <c r="I280" i="15"/>
  <c r="J280" i="15"/>
  <c r="K280" i="15"/>
  <c r="L280" i="15"/>
  <c r="M280" i="15"/>
  <c r="N280" i="15"/>
  <c r="O280" i="15"/>
  <c r="A281" i="15"/>
  <c r="B281" i="15"/>
  <c r="C281" i="15"/>
  <c r="D281" i="15"/>
  <c r="E281" i="15"/>
  <c r="F281" i="15"/>
  <c r="G281" i="15"/>
  <c r="H281" i="15"/>
  <c r="I281" i="15"/>
  <c r="J281" i="15"/>
  <c r="K281" i="15"/>
  <c r="L281" i="15"/>
  <c r="M281" i="15"/>
  <c r="N281" i="15"/>
  <c r="O281" i="15"/>
  <c r="A282" i="15"/>
  <c r="B282" i="15"/>
  <c r="C282" i="15"/>
  <c r="D282" i="15"/>
  <c r="E282" i="15"/>
  <c r="F282" i="15"/>
  <c r="G282" i="15"/>
  <c r="H282" i="15"/>
  <c r="I282" i="15"/>
  <c r="J282" i="15"/>
  <c r="K282" i="15"/>
  <c r="L282" i="15"/>
  <c r="M282" i="15"/>
  <c r="N282" i="15"/>
  <c r="O282" i="15"/>
  <c r="A283" i="15"/>
  <c r="B283" i="15"/>
  <c r="C283" i="15"/>
  <c r="D283" i="15"/>
  <c r="E283" i="15"/>
  <c r="F283" i="15"/>
  <c r="G283" i="15"/>
  <c r="H283" i="15"/>
  <c r="I283" i="15"/>
  <c r="J283" i="15"/>
  <c r="K283" i="15"/>
  <c r="L283" i="15"/>
  <c r="M283" i="15"/>
  <c r="N283" i="15"/>
  <c r="O283" i="15"/>
  <c r="A284" i="15"/>
  <c r="B284" i="15"/>
  <c r="C284" i="15"/>
  <c r="D284" i="15"/>
  <c r="E284" i="15"/>
  <c r="F284" i="15"/>
  <c r="G284" i="15"/>
  <c r="H284" i="15"/>
  <c r="I284" i="15"/>
  <c r="J284" i="15"/>
  <c r="K284" i="15"/>
  <c r="L284" i="15"/>
  <c r="M284" i="15"/>
  <c r="N284" i="15"/>
  <c r="O284" i="15"/>
  <c r="A285" i="15"/>
  <c r="B285" i="15"/>
  <c r="C285" i="15"/>
  <c r="D285" i="15"/>
  <c r="E285" i="15"/>
  <c r="F285" i="15"/>
  <c r="G285" i="15"/>
  <c r="H285" i="15"/>
  <c r="I285" i="15"/>
  <c r="J285" i="15"/>
  <c r="K285" i="15"/>
  <c r="L285" i="15"/>
  <c r="M285" i="15"/>
  <c r="N285" i="15"/>
  <c r="O285" i="15"/>
  <c r="A286" i="15"/>
  <c r="B286" i="15"/>
  <c r="C286" i="15"/>
  <c r="D286" i="15"/>
  <c r="E286" i="15"/>
  <c r="F286" i="15"/>
  <c r="G286" i="15"/>
  <c r="H286" i="15"/>
  <c r="I286" i="15"/>
  <c r="J286" i="15"/>
  <c r="K286" i="15"/>
  <c r="L286" i="15"/>
  <c r="M286" i="15"/>
  <c r="N286" i="15"/>
  <c r="O286" i="15"/>
  <c r="A287" i="15"/>
  <c r="B287" i="15"/>
  <c r="C287" i="15"/>
  <c r="D287" i="15"/>
  <c r="E287" i="15"/>
  <c r="F287" i="15"/>
  <c r="G287" i="15"/>
  <c r="H287" i="15"/>
  <c r="I287" i="15"/>
  <c r="J287" i="15"/>
  <c r="K287" i="15"/>
  <c r="L287" i="15"/>
  <c r="M287" i="15"/>
  <c r="N287" i="15"/>
  <c r="O287" i="15"/>
  <c r="A288" i="15"/>
  <c r="B288" i="15"/>
  <c r="C288" i="15"/>
  <c r="D288" i="15"/>
  <c r="E288" i="15"/>
  <c r="F288" i="15"/>
  <c r="G288" i="15"/>
  <c r="H288" i="15"/>
  <c r="I288" i="15"/>
  <c r="J288" i="15"/>
  <c r="K288" i="15"/>
  <c r="L288" i="15"/>
  <c r="M288" i="15"/>
  <c r="N288" i="15"/>
  <c r="O288" i="15"/>
  <c r="A289" i="15"/>
  <c r="B289" i="15"/>
  <c r="C289" i="15"/>
  <c r="D289" i="15"/>
  <c r="E289" i="15"/>
  <c r="F289" i="15"/>
  <c r="G289" i="15"/>
  <c r="H289" i="15"/>
  <c r="I289" i="15"/>
  <c r="J289" i="15"/>
  <c r="K289" i="15"/>
  <c r="L289" i="15"/>
  <c r="M289" i="15"/>
  <c r="N289" i="15"/>
  <c r="O289" i="15"/>
  <c r="A290" i="15"/>
  <c r="B290" i="15"/>
  <c r="C290" i="15"/>
  <c r="D290" i="15"/>
  <c r="E290" i="15"/>
  <c r="F290" i="15"/>
  <c r="G290" i="15"/>
  <c r="H290" i="15"/>
  <c r="I290" i="15"/>
  <c r="J290" i="15"/>
  <c r="K290" i="15"/>
  <c r="L290" i="15"/>
  <c r="M290" i="15"/>
  <c r="N290" i="15"/>
  <c r="O290" i="15"/>
  <c r="A291" i="15"/>
  <c r="B291" i="15"/>
  <c r="C291" i="15"/>
  <c r="D291" i="15"/>
  <c r="E291" i="15"/>
  <c r="F291" i="15"/>
  <c r="G291" i="15"/>
  <c r="H291" i="15"/>
  <c r="I291" i="15"/>
  <c r="J291" i="15"/>
  <c r="K291" i="15"/>
  <c r="L291" i="15"/>
  <c r="M291" i="15"/>
  <c r="N291" i="15"/>
  <c r="O291" i="15"/>
  <c r="A292" i="15"/>
  <c r="B292" i="15"/>
  <c r="C292" i="15"/>
  <c r="D292" i="15"/>
  <c r="E292" i="15"/>
  <c r="F292" i="15"/>
  <c r="G292" i="15"/>
  <c r="H292" i="15"/>
  <c r="I292" i="15"/>
  <c r="J292" i="15"/>
  <c r="K292" i="15"/>
  <c r="L292" i="15"/>
  <c r="M292" i="15"/>
  <c r="N292" i="15"/>
  <c r="O292" i="15"/>
  <c r="A293" i="15"/>
  <c r="B293" i="15"/>
  <c r="C293" i="15"/>
  <c r="D293" i="15"/>
  <c r="E293" i="15"/>
  <c r="F293" i="15"/>
  <c r="G293" i="15"/>
  <c r="H293" i="15"/>
  <c r="I293" i="15"/>
  <c r="J293" i="15"/>
  <c r="K293" i="15"/>
  <c r="L293" i="15"/>
  <c r="M293" i="15"/>
  <c r="N293" i="15"/>
  <c r="O293" i="15"/>
  <c r="A294" i="15"/>
  <c r="B294" i="15"/>
  <c r="C294" i="15"/>
  <c r="D294" i="15"/>
  <c r="E294" i="15"/>
  <c r="F294" i="15"/>
  <c r="G294" i="15"/>
  <c r="H294" i="15"/>
  <c r="I294" i="15"/>
  <c r="J294" i="15"/>
  <c r="K294" i="15"/>
  <c r="L294" i="15"/>
  <c r="M294" i="15"/>
  <c r="N294" i="15"/>
  <c r="O294" i="15"/>
  <c r="A295" i="15"/>
  <c r="B295" i="15"/>
  <c r="C295" i="15"/>
  <c r="D295" i="15"/>
  <c r="E295" i="15"/>
  <c r="F295" i="15"/>
  <c r="G295" i="15"/>
  <c r="H295" i="15"/>
  <c r="I295" i="15"/>
  <c r="J295" i="15"/>
  <c r="K295" i="15"/>
  <c r="L295" i="15"/>
  <c r="M295" i="15"/>
  <c r="N295" i="15"/>
  <c r="O295" i="15"/>
  <c r="A296" i="15"/>
  <c r="B296" i="15"/>
  <c r="C296" i="15"/>
  <c r="D296" i="15"/>
  <c r="E296" i="15"/>
  <c r="F296" i="15"/>
  <c r="G296" i="15"/>
  <c r="H296" i="15"/>
  <c r="I296" i="15"/>
  <c r="J296" i="15"/>
  <c r="K296" i="15"/>
  <c r="L296" i="15"/>
  <c r="M296" i="15"/>
  <c r="N296" i="15"/>
  <c r="O296" i="15"/>
  <c r="A297" i="15"/>
  <c r="B297" i="15"/>
  <c r="C297" i="15"/>
  <c r="D297" i="15"/>
  <c r="E297" i="15"/>
  <c r="F297" i="15"/>
  <c r="G297" i="15"/>
  <c r="H297" i="15"/>
  <c r="I297" i="15"/>
  <c r="J297" i="15"/>
  <c r="K297" i="15"/>
  <c r="L297" i="15"/>
  <c r="M297" i="15"/>
  <c r="N297" i="15"/>
  <c r="O297" i="15"/>
  <c r="A298" i="15"/>
  <c r="B298" i="15"/>
  <c r="C298" i="15"/>
  <c r="D298" i="15"/>
  <c r="E298" i="15"/>
  <c r="F298" i="15"/>
  <c r="G298" i="15"/>
  <c r="H298" i="15"/>
  <c r="I298" i="15"/>
  <c r="J298" i="15"/>
  <c r="K298" i="15"/>
  <c r="L298" i="15"/>
  <c r="M298" i="15"/>
  <c r="N298" i="15"/>
  <c r="O298" i="15"/>
  <c r="A299" i="15"/>
  <c r="B299" i="15"/>
  <c r="C299" i="15"/>
  <c r="D299" i="15"/>
  <c r="E299" i="15"/>
  <c r="F299" i="15"/>
  <c r="G299" i="15"/>
  <c r="H299" i="15"/>
  <c r="I299" i="15"/>
  <c r="J299" i="15"/>
  <c r="K299" i="15"/>
  <c r="L299" i="15"/>
  <c r="M299" i="15"/>
  <c r="N299" i="15"/>
  <c r="O299" i="15"/>
  <c r="A300" i="15"/>
  <c r="B300" i="15"/>
  <c r="C300" i="15"/>
  <c r="D300" i="15"/>
  <c r="E300" i="15"/>
  <c r="F300" i="15"/>
  <c r="G300" i="15"/>
  <c r="H300" i="15"/>
  <c r="I300" i="15"/>
  <c r="J300" i="15"/>
  <c r="K300" i="15"/>
  <c r="L300" i="15"/>
  <c r="M300" i="15"/>
  <c r="N300" i="15"/>
  <c r="O300" i="15"/>
  <c r="A301" i="15"/>
  <c r="B301" i="15"/>
  <c r="C301" i="15"/>
  <c r="D301" i="15"/>
  <c r="E301" i="15"/>
  <c r="F301" i="15"/>
  <c r="G301" i="15"/>
  <c r="H301" i="15"/>
  <c r="I301" i="15"/>
  <c r="J301" i="15"/>
  <c r="K301" i="15"/>
  <c r="L301" i="15"/>
  <c r="M301" i="15"/>
  <c r="N301" i="15"/>
  <c r="O301" i="15"/>
  <c r="A302" i="15"/>
  <c r="B302" i="15"/>
  <c r="C302" i="15"/>
  <c r="D302" i="15"/>
  <c r="E302" i="15"/>
  <c r="F302" i="15"/>
  <c r="G302" i="15"/>
  <c r="H302" i="15"/>
  <c r="I302" i="15"/>
  <c r="J302" i="15"/>
  <c r="K302" i="15"/>
  <c r="L302" i="15"/>
  <c r="M302" i="15"/>
  <c r="N302" i="15"/>
  <c r="O302" i="15"/>
  <c r="A303" i="15"/>
  <c r="B303" i="15"/>
  <c r="C303" i="15"/>
  <c r="D303" i="15"/>
  <c r="E303" i="15"/>
  <c r="F303" i="15"/>
  <c r="G303" i="15"/>
  <c r="H303" i="15"/>
  <c r="I303" i="15"/>
  <c r="J303" i="15"/>
  <c r="K303" i="15"/>
  <c r="L303" i="15"/>
  <c r="M303" i="15"/>
  <c r="N303" i="15"/>
  <c r="O303" i="15"/>
  <c r="A304" i="15"/>
  <c r="B304" i="15"/>
  <c r="C304" i="15"/>
  <c r="D304" i="15"/>
  <c r="E304" i="15"/>
  <c r="F304" i="15"/>
  <c r="G304" i="15"/>
  <c r="H304" i="15"/>
  <c r="I304" i="15"/>
  <c r="J304" i="15"/>
  <c r="K304" i="15"/>
  <c r="L304" i="15"/>
  <c r="M304" i="15"/>
  <c r="N304" i="15"/>
  <c r="O304" i="15"/>
  <c r="A305" i="15"/>
  <c r="B305" i="15"/>
  <c r="C305" i="15"/>
  <c r="D305" i="15"/>
  <c r="E305" i="15"/>
  <c r="F305" i="15"/>
  <c r="G305" i="15"/>
  <c r="H305" i="15"/>
  <c r="I305" i="15"/>
  <c r="J305" i="15"/>
  <c r="K305" i="15"/>
  <c r="L305" i="15"/>
  <c r="M305" i="15"/>
  <c r="N305" i="15"/>
  <c r="O305" i="15"/>
  <c r="A306" i="15"/>
  <c r="B306" i="15"/>
  <c r="C306" i="15"/>
  <c r="D306" i="15"/>
  <c r="E306" i="15"/>
  <c r="F306" i="15"/>
  <c r="G306" i="15"/>
  <c r="H306" i="15"/>
  <c r="I306" i="15"/>
  <c r="J306" i="15"/>
  <c r="K306" i="15"/>
  <c r="L306" i="15"/>
  <c r="M306" i="15"/>
  <c r="N306" i="15"/>
  <c r="O306" i="15"/>
  <c r="A307" i="15"/>
  <c r="B307" i="15"/>
  <c r="C307" i="15"/>
  <c r="D307" i="15"/>
  <c r="E307" i="15"/>
  <c r="F307" i="15"/>
  <c r="G307" i="15"/>
  <c r="H307" i="15"/>
  <c r="I307" i="15"/>
  <c r="J307" i="15"/>
  <c r="K307" i="15"/>
  <c r="L307" i="15"/>
  <c r="M307" i="15"/>
  <c r="N307" i="15"/>
  <c r="O307" i="15"/>
  <c r="A308" i="15"/>
  <c r="B308" i="15"/>
  <c r="C308" i="15"/>
  <c r="D308" i="15"/>
  <c r="E308" i="15"/>
  <c r="F308" i="15"/>
  <c r="G308" i="15"/>
  <c r="H308" i="15"/>
  <c r="I308" i="15"/>
  <c r="J308" i="15"/>
  <c r="K308" i="15"/>
  <c r="L308" i="15"/>
  <c r="M308" i="15"/>
  <c r="N308" i="15"/>
  <c r="O308" i="15"/>
  <c r="A309" i="15"/>
  <c r="B309" i="15"/>
  <c r="C309" i="15"/>
  <c r="D309" i="15"/>
  <c r="E309" i="15"/>
  <c r="F309" i="15"/>
  <c r="G309" i="15"/>
  <c r="H309" i="15"/>
  <c r="I309" i="15"/>
  <c r="J309" i="15"/>
  <c r="K309" i="15"/>
  <c r="L309" i="15"/>
  <c r="M309" i="15"/>
  <c r="N309" i="15"/>
  <c r="O309" i="15"/>
  <c r="A310" i="15"/>
  <c r="B310" i="15"/>
  <c r="C310" i="15"/>
  <c r="D310" i="15"/>
  <c r="E310" i="15"/>
  <c r="F310" i="15"/>
  <c r="G310" i="15"/>
  <c r="H310" i="15"/>
  <c r="I310" i="15"/>
  <c r="J310" i="15"/>
  <c r="K310" i="15"/>
  <c r="L310" i="15"/>
  <c r="M310" i="15"/>
  <c r="N310" i="15"/>
  <c r="O310" i="15"/>
  <c r="A311" i="15"/>
  <c r="B311" i="15"/>
  <c r="C311" i="15"/>
  <c r="D311" i="15"/>
  <c r="E311" i="15"/>
  <c r="F311" i="15"/>
  <c r="G311" i="15"/>
  <c r="H311" i="15"/>
  <c r="I311" i="15"/>
  <c r="J311" i="15"/>
  <c r="K311" i="15"/>
  <c r="L311" i="15"/>
  <c r="M311" i="15"/>
  <c r="N311" i="15"/>
  <c r="O311" i="15"/>
  <c r="A312" i="15"/>
  <c r="B312" i="15"/>
  <c r="C312" i="15"/>
  <c r="D312" i="15"/>
  <c r="E312" i="15"/>
  <c r="F312" i="15"/>
  <c r="G312" i="15"/>
  <c r="H312" i="15"/>
  <c r="I312" i="15"/>
  <c r="J312" i="15"/>
  <c r="K312" i="15"/>
  <c r="L312" i="15"/>
  <c r="M312" i="15"/>
  <c r="N312" i="15"/>
  <c r="O312" i="15"/>
  <c r="A313" i="15"/>
  <c r="B313" i="15"/>
  <c r="C313" i="15"/>
  <c r="D313" i="15"/>
  <c r="E313" i="15"/>
  <c r="F313" i="15"/>
  <c r="G313" i="15"/>
  <c r="H313" i="15"/>
  <c r="I313" i="15"/>
  <c r="J313" i="15"/>
  <c r="K313" i="15"/>
  <c r="L313" i="15"/>
  <c r="M313" i="15"/>
  <c r="N313" i="15"/>
  <c r="O313" i="15"/>
  <c r="A314" i="15"/>
  <c r="B314" i="15"/>
  <c r="C314" i="15"/>
  <c r="D314" i="15"/>
  <c r="E314" i="15"/>
  <c r="F314" i="15"/>
  <c r="G314" i="15"/>
  <c r="H314" i="15"/>
  <c r="I314" i="15"/>
  <c r="J314" i="15"/>
  <c r="K314" i="15"/>
  <c r="L314" i="15"/>
  <c r="M314" i="15"/>
  <c r="N314" i="15"/>
  <c r="O314" i="15"/>
  <c r="A315" i="15"/>
  <c r="B315" i="15"/>
  <c r="C315" i="15"/>
  <c r="D315" i="15"/>
  <c r="E315" i="15"/>
  <c r="F315" i="15"/>
  <c r="G315" i="15"/>
  <c r="H315" i="15"/>
  <c r="I315" i="15"/>
  <c r="J315" i="15"/>
  <c r="K315" i="15"/>
  <c r="L315" i="15"/>
  <c r="M315" i="15"/>
  <c r="N315" i="15"/>
  <c r="O315" i="15"/>
  <c r="A316" i="15"/>
  <c r="B316" i="15"/>
  <c r="C316" i="15"/>
  <c r="D316" i="15"/>
  <c r="E316" i="15"/>
  <c r="F316" i="15"/>
  <c r="G316" i="15"/>
  <c r="H316" i="15"/>
  <c r="I316" i="15"/>
  <c r="J316" i="15"/>
  <c r="K316" i="15"/>
  <c r="L316" i="15"/>
  <c r="M316" i="15"/>
  <c r="N316" i="15"/>
  <c r="O316" i="15"/>
  <c r="A317" i="15"/>
  <c r="B317" i="15"/>
  <c r="C317" i="15"/>
  <c r="D317" i="15"/>
  <c r="E317" i="15"/>
  <c r="F317" i="15"/>
  <c r="G317" i="15"/>
  <c r="H317" i="15"/>
  <c r="I317" i="15"/>
  <c r="J317" i="15"/>
  <c r="K317" i="15"/>
  <c r="L317" i="15"/>
  <c r="M317" i="15"/>
  <c r="N317" i="15"/>
  <c r="O317" i="15"/>
  <c r="A318" i="15"/>
  <c r="B318" i="15"/>
  <c r="C318" i="15"/>
  <c r="D318" i="15"/>
  <c r="E318" i="15"/>
  <c r="F318" i="15"/>
  <c r="G318" i="15"/>
  <c r="H318" i="15"/>
  <c r="I318" i="15"/>
  <c r="J318" i="15"/>
  <c r="K318" i="15"/>
  <c r="L318" i="15"/>
  <c r="M318" i="15"/>
  <c r="N318" i="15"/>
  <c r="O318" i="15"/>
  <c r="A319" i="15"/>
  <c r="B319" i="15"/>
  <c r="C319" i="15"/>
  <c r="D319" i="15"/>
  <c r="E319" i="15"/>
  <c r="F319" i="15"/>
  <c r="G319" i="15"/>
  <c r="H319" i="15"/>
  <c r="I319" i="15"/>
  <c r="J319" i="15"/>
  <c r="K319" i="15"/>
  <c r="L319" i="15"/>
  <c r="M319" i="15"/>
  <c r="N319" i="15"/>
  <c r="O319" i="15"/>
  <c r="A320" i="15"/>
  <c r="B320" i="15"/>
  <c r="C320" i="15"/>
  <c r="D320" i="15"/>
  <c r="E320" i="15"/>
  <c r="F320" i="15"/>
  <c r="G320" i="15"/>
  <c r="H320" i="15"/>
  <c r="I320" i="15"/>
  <c r="J320" i="15"/>
  <c r="K320" i="15"/>
  <c r="L320" i="15"/>
  <c r="M320" i="15"/>
  <c r="N320" i="15"/>
  <c r="O320" i="15"/>
  <c r="A321" i="15"/>
  <c r="B321" i="15"/>
  <c r="C321" i="15"/>
  <c r="D321" i="15"/>
  <c r="E321" i="15"/>
  <c r="F321" i="15"/>
  <c r="G321" i="15"/>
  <c r="H321" i="15"/>
  <c r="I321" i="15"/>
  <c r="J321" i="15"/>
  <c r="K321" i="15"/>
  <c r="L321" i="15"/>
  <c r="M321" i="15"/>
  <c r="N321" i="15"/>
  <c r="O321" i="15"/>
  <c r="A322" i="15"/>
  <c r="B322" i="15"/>
  <c r="C322" i="15"/>
  <c r="D322" i="15"/>
  <c r="E322" i="15"/>
  <c r="F322" i="15"/>
  <c r="G322" i="15"/>
  <c r="H322" i="15"/>
  <c r="I322" i="15"/>
  <c r="J322" i="15"/>
  <c r="K322" i="15"/>
  <c r="L322" i="15"/>
  <c r="M322" i="15"/>
  <c r="N322" i="15"/>
  <c r="O322" i="15"/>
  <c r="A323" i="15"/>
  <c r="B323" i="15"/>
  <c r="C323" i="15"/>
  <c r="D323" i="15"/>
  <c r="E323" i="15"/>
  <c r="F323" i="15"/>
  <c r="G323" i="15"/>
  <c r="H323" i="15"/>
  <c r="I323" i="15"/>
  <c r="J323" i="15"/>
  <c r="K323" i="15"/>
  <c r="L323" i="15"/>
  <c r="M323" i="15"/>
  <c r="N323" i="15"/>
  <c r="O323" i="15"/>
  <c r="A324" i="15"/>
  <c r="B324" i="15"/>
  <c r="C324" i="15"/>
  <c r="D324" i="15"/>
  <c r="E324" i="15"/>
  <c r="F324" i="15"/>
  <c r="G324" i="15"/>
  <c r="H324" i="15"/>
  <c r="I324" i="15"/>
  <c r="J324" i="15"/>
  <c r="K324" i="15"/>
  <c r="L324" i="15"/>
  <c r="M324" i="15"/>
  <c r="N324" i="15"/>
  <c r="O324" i="15"/>
  <c r="A325" i="15"/>
  <c r="B325" i="15"/>
  <c r="C325" i="15"/>
  <c r="D325" i="15"/>
  <c r="E325" i="15"/>
  <c r="F325" i="15"/>
  <c r="G325" i="15"/>
  <c r="H325" i="15"/>
  <c r="I325" i="15"/>
  <c r="J325" i="15"/>
  <c r="K325" i="15"/>
  <c r="L325" i="15"/>
  <c r="M325" i="15"/>
  <c r="N325" i="15"/>
  <c r="O325" i="15"/>
  <c r="A326" i="15"/>
  <c r="B326" i="15"/>
  <c r="C326" i="15"/>
  <c r="D326" i="15"/>
  <c r="E326" i="15"/>
  <c r="F326" i="15"/>
  <c r="G326" i="15"/>
  <c r="H326" i="15"/>
  <c r="I326" i="15"/>
  <c r="J326" i="15"/>
  <c r="K326" i="15"/>
  <c r="L326" i="15"/>
  <c r="M326" i="15"/>
  <c r="N326" i="15"/>
  <c r="O326" i="15"/>
  <c r="A327" i="15"/>
  <c r="B327" i="15"/>
  <c r="C327" i="15"/>
  <c r="D327" i="15"/>
  <c r="E327" i="15"/>
  <c r="F327" i="15"/>
  <c r="G327" i="15"/>
  <c r="H327" i="15"/>
  <c r="I327" i="15"/>
  <c r="J327" i="15"/>
  <c r="K327" i="15"/>
  <c r="L327" i="15"/>
  <c r="M327" i="15"/>
  <c r="N327" i="15"/>
  <c r="O327" i="15"/>
  <c r="A328" i="15"/>
  <c r="B328" i="15"/>
  <c r="C328" i="15"/>
  <c r="D328" i="15"/>
  <c r="E328" i="15"/>
  <c r="F328" i="15"/>
  <c r="G328" i="15"/>
  <c r="H328" i="15"/>
  <c r="I328" i="15"/>
  <c r="J328" i="15"/>
  <c r="K328" i="15"/>
  <c r="L328" i="15"/>
  <c r="M328" i="15"/>
  <c r="N328" i="15"/>
  <c r="O328" i="15"/>
  <c r="A329" i="15"/>
  <c r="B329" i="15"/>
  <c r="C329" i="15"/>
  <c r="D329" i="15"/>
  <c r="E329" i="15"/>
  <c r="F329" i="15"/>
  <c r="G329" i="15"/>
  <c r="H329" i="15"/>
  <c r="I329" i="15"/>
  <c r="J329" i="15"/>
  <c r="K329" i="15"/>
  <c r="L329" i="15"/>
  <c r="M329" i="15"/>
  <c r="N329" i="15"/>
  <c r="O329" i="15"/>
  <c r="A330" i="15"/>
  <c r="B330" i="15"/>
  <c r="C330" i="15"/>
  <c r="D330" i="15"/>
  <c r="E330" i="15"/>
  <c r="F330" i="15"/>
  <c r="G330" i="15"/>
  <c r="H330" i="15"/>
  <c r="I330" i="15"/>
  <c r="J330" i="15"/>
  <c r="K330" i="15"/>
  <c r="L330" i="15"/>
  <c r="M330" i="15"/>
  <c r="N330" i="15"/>
  <c r="O330" i="15"/>
  <c r="A331" i="15"/>
  <c r="B331" i="15"/>
  <c r="C331" i="15"/>
  <c r="D331" i="15"/>
  <c r="E331" i="15"/>
  <c r="F331" i="15"/>
  <c r="G331" i="15"/>
  <c r="H331" i="15"/>
  <c r="I331" i="15"/>
  <c r="J331" i="15"/>
  <c r="K331" i="15"/>
  <c r="L331" i="15"/>
  <c r="M331" i="15"/>
  <c r="N331" i="15"/>
  <c r="O331" i="15"/>
  <c r="A332" i="15"/>
  <c r="B332" i="15"/>
  <c r="C332" i="15"/>
  <c r="D332" i="15"/>
  <c r="E332" i="15"/>
  <c r="F332" i="15"/>
  <c r="G332" i="15"/>
  <c r="H332" i="15"/>
  <c r="I332" i="15"/>
  <c r="J332" i="15"/>
  <c r="K332" i="15"/>
  <c r="L332" i="15"/>
  <c r="M332" i="15"/>
  <c r="N332" i="15"/>
  <c r="O332" i="15"/>
  <c r="A333" i="15"/>
  <c r="B333" i="15"/>
  <c r="C333" i="15"/>
  <c r="D333" i="15"/>
  <c r="E333" i="15"/>
  <c r="F333" i="15"/>
  <c r="G333" i="15"/>
  <c r="H333" i="15"/>
  <c r="I333" i="15"/>
  <c r="J333" i="15"/>
  <c r="K333" i="15"/>
  <c r="L333" i="15"/>
  <c r="M333" i="15"/>
  <c r="N333" i="15"/>
  <c r="O333" i="15"/>
  <c r="A334" i="15"/>
  <c r="B334" i="15"/>
  <c r="C334" i="15"/>
  <c r="D334" i="15"/>
  <c r="E334" i="15"/>
  <c r="F334" i="15"/>
  <c r="G334" i="15"/>
  <c r="H334" i="15"/>
  <c r="I334" i="15"/>
  <c r="J334" i="15"/>
  <c r="K334" i="15"/>
  <c r="L334" i="15"/>
  <c r="M334" i="15"/>
  <c r="N334" i="15"/>
  <c r="O334" i="15"/>
  <c r="A335" i="15"/>
  <c r="B335" i="15"/>
  <c r="C335" i="15"/>
  <c r="D335" i="15"/>
  <c r="E335" i="15"/>
  <c r="F335" i="15"/>
  <c r="G335" i="15"/>
  <c r="H335" i="15"/>
  <c r="I335" i="15"/>
  <c r="J335" i="15"/>
  <c r="K335" i="15"/>
  <c r="L335" i="15"/>
  <c r="M335" i="15"/>
  <c r="N335" i="15"/>
  <c r="O335" i="15"/>
  <c r="A336" i="15"/>
  <c r="B336" i="15"/>
  <c r="C336" i="15"/>
  <c r="D336" i="15"/>
  <c r="E336" i="15"/>
  <c r="F336" i="15"/>
  <c r="G336" i="15"/>
  <c r="H336" i="15"/>
  <c r="I336" i="15"/>
  <c r="J336" i="15"/>
  <c r="K336" i="15"/>
  <c r="L336" i="15"/>
  <c r="M336" i="15"/>
  <c r="N336" i="15"/>
  <c r="O336" i="15"/>
  <c r="A337" i="15"/>
  <c r="B337" i="15"/>
  <c r="C337" i="15"/>
  <c r="D337" i="15"/>
  <c r="E337" i="15"/>
  <c r="F337" i="15"/>
  <c r="G337" i="15"/>
  <c r="H337" i="15"/>
  <c r="I337" i="15"/>
  <c r="J337" i="15"/>
  <c r="K337" i="15"/>
  <c r="L337" i="15"/>
  <c r="M337" i="15"/>
  <c r="N337" i="15"/>
  <c r="O337" i="15"/>
  <c r="A338" i="15"/>
  <c r="B338" i="15"/>
  <c r="C338" i="15"/>
  <c r="D338" i="15"/>
  <c r="E338" i="15"/>
  <c r="F338" i="15"/>
  <c r="G338" i="15"/>
  <c r="H338" i="15"/>
  <c r="I338" i="15"/>
  <c r="J338" i="15"/>
  <c r="K338" i="15"/>
  <c r="L338" i="15"/>
  <c r="M338" i="15"/>
  <c r="N338" i="15"/>
  <c r="O338" i="15"/>
  <c r="A339" i="15"/>
  <c r="B339" i="15"/>
  <c r="C339" i="15"/>
  <c r="D339" i="15"/>
  <c r="E339" i="15"/>
  <c r="F339" i="15"/>
  <c r="G339" i="15"/>
  <c r="H339" i="15"/>
  <c r="I339" i="15"/>
  <c r="J339" i="15"/>
  <c r="K339" i="15"/>
  <c r="L339" i="15"/>
  <c r="M339" i="15"/>
  <c r="N339" i="15"/>
  <c r="O339" i="15"/>
  <c r="A340" i="15"/>
  <c r="B340" i="15"/>
  <c r="C340" i="15"/>
  <c r="D340" i="15"/>
  <c r="E340" i="15"/>
  <c r="F340" i="15"/>
  <c r="G340" i="15"/>
  <c r="H340" i="15"/>
  <c r="I340" i="15"/>
  <c r="J340" i="15"/>
  <c r="K340" i="15"/>
  <c r="L340" i="15"/>
  <c r="M340" i="15"/>
  <c r="N340" i="15"/>
  <c r="O340" i="15"/>
  <c r="A341" i="15"/>
  <c r="B341" i="15"/>
  <c r="C341" i="15"/>
  <c r="D341" i="15"/>
  <c r="E341" i="15"/>
  <c r="F341" i="15"/>
  <c r="G341" i="15"/>
  <c r="H341" i="15"/>
  <c r="I341" i="15"/>
  <c r="J341" i="15"/>
  <c r="K341" i="15"/>
  <c r="L341" i="15"/>
  <c r="M341" i="15"/>
  <c r="N341" i="15"/>
  <c r="O341" i="15"/>
  <c r="A342" i="15"/>
  <c r="B342" i="15"/>
  <c r="C342" i="15"/>
  <c r="D342" i="15"/>
  <c r="E342" i="15"/>
  <c r="F342" i="15"/>
  <c r="G342" i="15"/>
  <c r="H342" i="15"/>
  <c r="I342" i="15"/>
  <c r="J342" i="15"/>
  <c r="K342" i="15"/>
  <c r="L342" i="15"/>
  <c r="M342" i="15"/>
  <c r="N342" i="15"/>
  <c r="O342" i="15"/>
  <c r="A343" i="15"/>
  <c r="B343" i="15"/>
  <c r="C343" i="15"/>
  <c r="D343" i="15"/>
  <c r="E343" i="15"/>
  <c r="F343" i="15"/>
  <c r="G343" i="15"/>
  <c r="H343" i="15"/>
  <c r="I343" i="15"/>
  <c r="J343" i="15"/>
  <c r="K343" i="15"/>
  <c r="L343" i="15"/>
  <c r="M343" i="15"/>
  <c r="N343" i="15"/>
  <c r="O343" i="15"/>
  <c r="A344" i="15"/>
  <c r="B344" i="15"/>
  <c r="C344" i="15"/>
  <c r="D344" i="15"/>
  <c r="E344" i="15"/>
  <c r="F344" i="15"/>
  <c r="G344" i="15"/>
  <c r="H344" i="15"/>
  <c r="I344" i="15"/>
  <c r="J344" i="15"/>
  <c r="K344" i="15"/>
  <c r="L344" i="15"/>
  <c r="M344" i="15"/>
  <c r="N344" i="15"/>
  <c r="O344" i="15"/>
  <c r="A345" i="15"/>
  <c r="B345" i="15"/>
  <c r="C345" i="15"/>
  <c r="D345" i="15"/>
  <c r="E345" i="15"/>
  <c r="F345" i="15"/>
  <c r="G345" i="15"/>
  <c r="H345" i="15"/>
  <c r="I345" i="15"/>
  <c r="J345" i="15"/>
  <c r="K345" i="15"/>
  <c r="L345" i="15"/>
  <c r="M345" i="15"/>
  <c r="N345" i="15"/>
  <c r="O345" i="15"/>
  <c r="A346" i="15"/>
  <c r="B346" i="15"/>
  <c r="C346" i="15"/>
  <c r="D346" i="15"/>
  <c r="E346" i="15"/>
  <c r="F346" i="15"/>
  <c r="G346" i="15"/>
  <c r="H346" i="15"/>
  <c r="I346" i="15"/>
  <c r="J346" i="15"/>
  <c r="K346" i="15"/>
  <c r="L346" i="15"/>
  <c r="M346" i="15"/>
  <c r="N346" i="15"/>
  <c r="O346" i="15"/>
  <c r="A347" i="15"/>
  <c r="B347" i="15"/>
  <c r="C347" i="15"/>
  <c r="D347" i="15"/>
  <c r="E347" i="15"/>
  <c r="F347" i="15"/>
  <c r="G347" i="15"/>
  <c r="H347" i="15"/>
  <c r="I347" i="15"/>
  <c r="J347" i="15"/>
  <c r="K347" i="15"/>
  <c r="L347" i="15"/>
  <c r="M347" i="15"/>
  <c r="N347" i="15"/>
  <c r="O347" i="15"/>
  <c r="A348" i="15"/>
  <c r="B348" i="15"/>
  <c r="C348" i="15"/>
  <c r="D348" i="15"/>
  <c r="E348" i="15"/>
  <c r="F348" i="15"/>
  <c r="G348" i="15"/>
  <c r="H348" i="15"/>
  <c r="I348" i="15"/>
  <c r="J348" i="15"/>
  <c r="K348" i="15"/>
  <c r="L348" i="15"/>
  <c r="M348" i="15"/>
  <c r="N348" i="15"/>
  <c r="O348" i="15"/>
  <c r="A349" i="15"/>
  <c r="B349" i="15"/>
  <c r="C349" i="15"/>
  <c r="D349" i="15"/>
  <c r="E349" i="15"/>
  <c r="F349" i="15"/>
  <c r="G349" i="15"/>
  <c r="H349" i="15"/>
  <c r="I349" i="15"/>
  <c r="J349" i="15"/>
  <c r="K349" i="15"/>
  <c r="L349" i="15"/>
  <c r="M349" i="15"/>
  <c r="N349" i="15"/>
  <c r="O349" i="15"/>
  <c r="A350" i="15"/>
  <c r="B350" i="15"/>
  <c r="C350" i="15"/>
  <c r="D350" i="15"/>
  <c r="E350" i="15"/>
  <c r="F350" i="15"/>
  <c r="G350" i="15"/>
  <c r="H350" i="15"/>
  <c r="I350" i="15"/>
  <c r="J350" i="15"/>
  <c r="K350" i="15"/>
  <c r="L350" i="15"/>
  <c r="M350" i="15"/>
  <c r="N350" i="15"/>
  <c r="O350" i="15"/>
  <c r="A351" i="15"/>
  <c r="B351" i="15"/>
  <c r="C351" i="15"/>
  <c r="D351" i="15"/>
  <c r="E351" i="15"/>
  <c r="F351" i="15"/>
  <c r="G351" i="15"/>
  <c r="H351" i="15"/>
  <c r="I351" i="15"/>
  <c r="J351" i="15"/>
  <c r="K351" i="15"/>
  <c r="L351" i="15"/>
  <c r="M351" i="15"/>
  <c r="N351" i="15"/>
  <c r="O351" i="15"/>
  <c r="A352" i="15"/>
  <c r="B352" i="15"/>
  <c r="C352" i="15"/>
  <c r="D352" i="15"/>
  <c r="E352" i="15"/>
  <c r="F352" i="15"/>
  <c r="G352" i="15"/>
  <c r="H352" i="15"/>
  <c r="I352" i="15"/>
  <c r="J352" i="15"/>
  <c r="K352" i="15"/>
  <c r="L352" i="15"/>
  <c r="M352" i="15"/>
  <c r="N352" i="15"/>
  <c r="O352" i="15"/>
  <c r="A353" i="15"/>
  <c r="B353" i="15"/>
  <c r="C353" i="15"/>
  <c r="D353" i="15"/>
  <c r="E353" i="15"/>
  <c r="F353" i="15"/>
  <c r="G353" i="15"/>
  <c r="H353" i="15"/>
  <c r="I353" i="15"/>
  <c r="J353" i="15"/>
  <c r="K353" i="15"/>
  <c r="L353" i="15"/>
  <c r="M353" i="15"/>
  <c r="N353" i="15"/>
  <c r="O353" i="15"/>
  <c r="A354" i="15"/>
  <c r="B354" i="15"/>
  <c r="C354" i="15"/>
  <c r="D354" i="15"/>
  <c r="E354" i="15"/>
  <c r="F354" i="15"/>
  <c r="G354" i="15"/>
  <c r="H354" i="15"/>
  <c r="I354" i="15"/>
  <c r="J354" i="15"/>
  <c r="K354" i="15"/>
  <c r="L354" i="15"/>
  <c r="M354" i="15"/>
  <c r="N354" i="15"/>
  <c r="O354" i="15"/>
  <c r="A355" i="15"/>
  <c r="B355" i="15"/>
  <c r="C355" i="15"/>
  <c r="D355" i="15"/>
  <c r="E355" i="15"/>
  <c r="F355" i="15"/>
  <c r="G355" i="15"/>
  <c r="H355" i="15"/>
  <c r="I355" i="15"/>
  <c r="J355" i="15"/>
  <c r="K355" i="15"/>
  <c r="L355" i="15"/>
  <c r="M355" i="15"/>
  <c r="N355" i="15"/>
  <c r="O355" i="15"/>
  <c r="A356" i="15"/>
  <c r="B356" i="15"/>
  <c r="C356" i="15"/>
  <c r="D356" i="15"/>
  <c r="E356" i="15"/>
  <c r="F356" i="15"/>
  <c r="G356" i="15"/>
  <c r="H356" i="15"/>
  <c r="I356" i="15"/>
  <c r="J356" i="15"/>
  <c r="K356" i="15"/>
  <c r="L356" i="15"/>
  <c r="M356" i="15"/>
  <c r="N356" i="15"/>
  <c r="O356" i="15"/>
  <c r="A357" i="15"/>
  <c r="B357" i="15"/>
  <c r="C357" i="15"/>
  <c r="D357" i="15"/>
  <c r="E357" i="15"/>
  <c r="F357" i="15"/>
  <c r="G357" i="15"/>
  <c r="H357" i="15"/>
  <c r="I357" i="15"/>
  <c r="J357" i="15"/>
  <c r="K357" i="15"/>
  <c r="L357" i="15"/>
  <c r="M357" i="15"/>
  <c r="N357" i="15"/>
  <c r="O357" i="15"/>
  <c r="A358" i="15"/>
  <c r="B358" i="15"/>
  <c r="C358" i="15"/>
  <c r="D358" i="15"/>
  <c r="E358" i="15"/>
  <c r="F358" i="15"/>
  <c r="G358" i="15"/>
  <c r="H358" i="15"/>
  <c r="I358" i="15"/>
  <c r="J358" i="15"/>
  <c r="K358" i="15"/>
  <c r="L358" i="15"/>
  <c r="M358" i="15"/>
  <c r="N358" i="15"/>
  <c r="O358" i="15"/>
  <c r="A359" i="15"/>
  <c r="B359" i="15"/>
  <c r="C359" i="15"/>
  <c r="D359" i="15"/>
  <c r="E359" i="15"/>
  <c r="F359" i="15"/>
  <c r="G359" i="15"/>
  <c r="H359" i="15"/>
  <c r="I359" i="15"/>
  <c r="J359" i="15"/>
  <c r="K359" i="15"/>
  <c r="L359" i="15"/>
  <c r="M359" i="15"/>
  <c r="N359" i="15"/>
  <c r="O359" i="15"/>
  <c r="A360" i="15"/>
  <c r="B360" i="15"/>
  <c r="C360" i="15"/>
  <c r="D360" i="15"/>
  <c r="E360" i="15"/>
  <c r="F360" i="15"/>
  <c r="G360" i="15"/>
  <c r="H360" i="15"/>
  <c r="I360" i="15"/>
  <c r="J360" i="15"/>
  <c r="K360" i="15"/>
  <c r="L360" i="15"/>
  <c r="M360" i="15"/>
  <c r="N360" i="15"/>
  <c r="O360" i="15"/>
  <c r="A361" i="15"/>
  <c r="B361" i="15"/>
  <c r="C361" i="15"/>
  <c r="D361" i="15"/>
  <c r="E361" i="15"/>
  <c r="F361" i="15"/>
  <c r="G361" i="15"/>
  <c r="H361" i="15"/>
  <c r="I361" i="15"/>
  <c r="J361" i="15"/>
  <c r="K361" i="15"/>
  <c r="L361" i="15"/>
  <c r="M361" i="15"/>
  <c r="N361" i="15"/>
  <c r="O361" i="15"/>
  <c r="A362" i="15"/>
  <c r="B362" i="15"/>
  <c r="C362" i="15"/>
  <c r="D362" i="15"/>
  <c r="E362" i="15"/>
  <c r="F362" i="15"/>
  <c r="G362" i="15"/>
  <c r="H362" i="15"/>
  <c r="I362" i="15"/>
  <c r="J362" i="15"/>
  <c r="K362" i="15"/>
  <c r="L362" i="15"/>
  <c r="M362" i="15"/>
  <c r="N362" i="15"/>
  <c r="O362" i="15"/>
  <c r="A363" i="15"/>
  <c r="B363" i="15"/>
  <c r="C363" i="15"/>
  <c r="D363" i="15"/>
  <c r="E363" i="15"/>
  <c r="F363" i="15"/>
  <c r="G363" i="15"/>
  <c r="H363" i="15"/>
  <c r="I363" i="15"/>
  <c r="J363" i="15"/>
  <c r="K363" i="15"/>
  <c r="L363" i="15"/>
  <c r="M363" i="15"/>
  <c r="N363" i="15"/>
  <c r="O363" i="15"/>
  <c r="A364" i="15"/>
  <c r="B364" i="15"/>
  <c r="C364" i="15"/>
  <c r="D364" i="15"/>
  <c r="E364" i="15"/>
  <c r="F364" i="15"/>
  <c r="G364" i="15"/>
  <c r="H364" i="15"/>
  <c r="I364" i="15"/>
  <c r="J364" i="15"/>
  <c r="K364" i="15"/>
  <c r="L364" i="15"/>
  <c r="M364" i="15"/>
  <c r="N364" i="15"/>
  <c r="O364" i="15"/>
  <c r="A365" i="15"/>
  <c r="B365" i="15"/>
  <c r="C365" i="15"/>
  <c r="D365" i="15"/>
  <c r="E365" i="15"/>
  <c r="F365" i="15"/>
  <c r="G365" i="15"/>
  <c r="H365" i="15"/>
  <c r="I365" i="15"/>
  <c r="J365" i="15"/>
  <c r="K365" i="15"/>
  <c r="L365" i="15"/>
  <c r="M365" i="15"/>
  <c r="N365" i="15"/>
  <c r="O365" i="15"/>
  <c r="A366" i="15"/>
  <c r="B366" i="15"/>
  <c r="C366" i="15"/>
  <c r="D366" i="15"/>
  <c r="E366" i="15"/>
  <c r="F366" i="15"/>
  <c r="G366" i="15"/>
  <c r="H366" i="15"/>
  <c r="I366" i="15"/>
  <c r="J366" i="15"/>
  <c r="K366" i="15"/>
  <c r="L366" i="15"/>
  <c r="M366" i="15"/>
  <c r="N366" i="15"/>
  <c r="O366" i="15"/>
  <c r="A367" i="15"/>
  <c r="B367" i="15"/>
  <c r="C367" i="15"/>
  <c r="D367" i="15"/>
  <c r="E367" i="15"/>
  <c r="F367" i="15"/>
  <c r="G367" i="15"/>
  <c r="H367" i="15"/>
  <c r="I367" i="15"/>
  <c r="J367" i="15"/>
  <c r="K367" i="15"/>
  <c r="L367" i="15"/>
  <c r="M367" i="15"/>
  <c r="N367" i="15"/>
  <c r="O367" i="15"/>
  <c r="A368" i="15"/>
  <c r="B368" i="15"/>
  <c r="C368" i="15"/>
  <c r="D368" i="15"/>
  <c r="E368" i="15"/>
  <c r="F368" i="15"/>
  <c r="G368" i="15"/>
  <c r="H368" i="15"/>
  <c r="I368" i="15"/>
  <c r="J368" i="15"/>
  <c r="K368" i="15"/>
  <c r="L368" i="15"/>
  <c r="M368" i="15"/>
  <c r="N368" i="15"/>
  <c r="O368" i="15"/>
  <c r="A369" i="15"/>
  <c r="B369" i="15"/>
  <c r="C369" i="15"/>
  <c r="D369" i="15"/>
  <c r="E369" i="15"/>
  <c r="F369" i="15"/>
  <c r="G369" i="15"/>
  <c r="H369" i="15"/>
  <c r="I369" i="15"/>
  <c r="J369" i="15"/>
  <c r="K369" i="15"/>
  <c r="L369" i="15"/>
  <c r="M369" i="15"/>
  <c r="N369" i="15"/>
  <c r="O369" i="15"/>
  <c r="A370" i="15"/>
  <c r="B370" i="15"/>
  <c r="C370" i="15"/>
  <c r="D370" i="15"/>
  <c r="E370" i="15"/>
  <c r="F370" i="15"/>
  <c r="G370" i="15"/>
  <c r="H370" i="15"/>
  <c r="I370" i="15"/>
  <c r="J370" i="15"/>
  <c r="K370" i="15"/>
  <c r="L370" i="15"/>
  <c r="M370" i="15"/>
  <c r="N370" i="15"/>
  <c r="O370" i="15"/>
  <c r="A371" i="15"/>
  <c r="B371" i="15"/>
  <c r="C371" i="15"/>
  <c r="D371" i="15"/>
  <c r="E371" i="15"/>
  <c r="F371" i="15"/>
  <c r="G371" i="15"/>
  <c r="H371" i="15"/>
  <c r="I371" i="15"/>
  <c r="J371" i="15"/>
  <c r="K371" i="15"/>
  <c r="L371" i="15"/>
  <c r="M371" i="15"/>
  <c r="N371" i="15"/>
  <c r="O371" i="15"/>
  <c r="A372" i="15"/>
  <c r="B372" i="15"/>
  <c r="C372" i="15"/>
  <c r="D372" i="15"/>
  <c r="E372" i="15"/>
  <c r="F372" i="15"/>
  <c r="G372" i="15"/>
  <c r="H372" i="15"/>
  <c r="I372" i="15"/>
  <c r="J372" i="15"/>
  <c r="K372" i="15"/>
  <c r="L372" i="15"/>
  <c r="M372" i="15"/>
  <c r="N372" i="15"/>
  <c r="O372" i="15"/>
  <c r="A373" i="15"/>
  <c r="B373" i="15"/>
  <c r="C373" i="15"/>
  <c r="D373" i="15"/>
  <c r="E373" i="15"/>
  <c r="F373" i="15"/>
  <c r="G373" i="15"/>
  <c r="H373" i="15"/>
  <c r="I373" i="15"/>
  <c r="J373" i="15"/>
  <c r="K373" i="15"/>
  <c r="L373" i="15"/>
  <c r="M373" i="15"/>
  <c r="N373" i="15"/>
  <c r="O373" i="15"/>
  <c r="A374" i="15"/>
  <c r="B374" i="15"/>
  <c r="C374" i="15"/>
  <c r="D374" i="15"/>
  <c r="E374" i="15"/>
  <c r="F374" i="15"/>
  <c r="G374" i="15"/>
  <c r="H374" i="15"/>
  <c r="I374" i="15"/>
  <c r="J374" i="15"/>
  <c r="K374" i="15"/>
  <c r="L374" i="15"/>
  <c r="M374" i="15"/>
  <c r="N374" i="15"/>
  <c r="O374" i="15"/>
  <c r="A375" i="15"/>
  <c r="B375" i="15"/>
  <c r="C375" i="15"/>
  <c r="D375" i="15"/>
  <c r="E375" i="15"/>
  <c r="F375" i="15"/>
  <c r="G375" i="15"/>
  <c r="H375" i="15"/>
  <c r="I375" i="15"/>
  <c r="J375" i="15"/>
  <c r="K375" i="15"/>
  <c r="L375" i="15"/>
  <c r="M375" i="15"/>
  <c r="N375" i="15"/>
  <c r="O375" i="15"/>
  <c r="A376" i="15"/>
  <c r="B376" i="15"/>
  <c r="C376" i="15"/>
  <c r="D376" i="15"/>
  <c r="E376" i="15"/>
  <c r="F376" i="15"/>
  <c r="G376" i="15"/>
  <c r="H376" i="15"/>
  <c r="I376" i="15"/>
  <c r="J376" i="15"/>
  <c r="K376" i="15"/>
  <c r="L376" i="15"/>
  <c r="M376" i="15"/>
  <c r="N376" i="15"/>
  <c r="O376" i="15"/>
  <c r="A377" i="15"/>
  <c r="B377" i="15"/>
  <c r="C377" i="15"/>
  <c r="D377" i="15"/>
  <c r="E377" i="15"/>
  <c r="F377" i="15"/>
  <c r="G377" i="15"/>
  <c r="H377" i="15"/>
  <c r="I377" i="15"/>
  <c r="J377" i="15"/>
  <c r="K377" i="15"/>
  <c r="L377" i="15"/>
  <c r="M377" i="15"/>
  <c r="N377" i="15"/>
  <c r="O377" i="15"/>
  <c r="A378" i="15"/>
  <c r="B378" i="15"/>
  <c r="C378" i="15"/>
  <c r="D378" i="15"/>
  <c r="E378" i="15"/>
  <c r="F378" i="15"/>
  <c r="G378" i="15"/>
  <c r="H378" i="15"/>
  <c r="I378" i="15"/>
  <c r="J378" i="15"/>
  <c r="K378" i="15"/>
  <c r="L378" i="15"/>
  <c r="M378" i="15"/>
  <c r="N378" i="15"/>
  <c r="O378" i="15"/>
  <c r="A379" i="15"/>
  <c r="B379" i="15"/>
  <c r="C379" i="15"/>
  <c r="D379" i="15"/>
  <c r="E379" i="15"/>
  <c r="F379" i="15"/>
  <c r="G379" i="15"/>
  <c r="H379" i="15"/>
  <c r="I379" i="15"/>
  <c r="J379" i="15"/>
  <c r="K379" i="15"/>
  <c r="L379" i="15"/>
  <c r="M379" i="15"/>
  <c r="N379" i="15"/>
  <c r="O379" i="15"/>
  <c r="A380" i="15"/>
  <c r="B380" i="15"/>
  <c r="C380" i="15"/>
  <c r="D380" i="15"/>
  <c r="E380" i="15"/>
  <c r="F380" i="15"/>
  <c r="G380" i="15"/>
  <c r="H380" i="15"/>
  <c r="I380" i="15"/>
  <c r="J380" i="15"/>
  <c r="K380" i="15"/>
  <c r="L380" i="15"/>
  <c r="M380" i="15"/>
  <c r="N380" i="15"/>
  <c r="O380" i="15"/>
  <c r="A381" i="15"/>
  <c r="B381" i="15"/>
  <c r="C381" i="15"/>
  <c r="D381" i="15"/>
  <c r="E381" i="15"/>
  <c r="F381" i="15"/>
  <c r="G381" i="15"/>
  <c r="H381" i="15"/>
  <c r="I381" i="15"/>
  <c r="J381" i="15"/>
  <c r="K381" i="15"/>
  <c r="L381" i="15"/>
  <c r="M381" i="15"/>
  <c r="N381" i="15"/>
  <c r="O381" i="15"/>
  <c r="A382" i="15"/>
  <c r="B382" i="15"/>
  <c r="C382" i="15"/>
  <c r="D382" i="15"/>
  <c r="E382" i="15"/>
  <c r="F382" i="15"/>
  <c r="G382" i="15"/>
  <c r="H382" i="15"/>
  <c r="I382" i="15"/>
  <c r="J382" i="15"/>
  <c r="K382" i="15"/>
  <c r="L382" i="15"/>
  <c r="M382" i="15"/>
  <c r="N382" i="15"/>
  <c r="O382" i="15"/>
  <c r="A383" i="15"/>
  <c r="B383" i="15"/>
  <c r="C383" i="15"/>
  <c r="D383" i="15"/>
  <c r="E383" i="15"/>
  <c r="F383" i="15"/>
  <c r="G383" i="15"/>
  <c r="H383" i="15"/>
  <c r="I383" i="15"/>
  <c r="J383" i="15"/>
  <c r="K383" i="15"/>
  <c r="L383" i="15"/>
  <c r="M383" i="15"/>
  <c r="N383" i="15"/>
  <c r="O383" i="15"/>
  <c r="A384" i="15"/>
  <c r="B384" i="15"/>
  <c r="C384" i="15"/>
  <c r="D384" i="15"/>
  <c r="E384" i="15"/>
  <c r="F384" i="15"/>
  <c r="G384" i="15"/>
  <c r="H384" i="15"/>
  <c r="I384" i="15"/>
  <c r="J384" i="15"/>
  <c r="K384" i="15"/>
  <c r="L384" i="15"/>
  <c r="M384" i="15"/>
  <c r="N384" i="15"/>
  <c r="O384" i="15"/>
  <c r="A385" i="15"/>
  <c r="B385" i="15"/>
  <c r="C385" i="15"/>
  <c r="D385" i="15"/>
  <c r="E385" i="15"/>
  <c r="F385" i="15"/>
  <c r="G385" i="15"/>
  <c r="H385" i="15"/>
  <c r="I385" i="15"/>
  <c r="J385" i="15"/>
  <c r="K385" i="15"/>
  <c r="L385" i="15"/>
  <c r="M385" i="15"/>
  <c r="N385" i="15"/>
  <c r="O385" i="15"/>
  <c r="A386" i="15"/>
  <c r="B386" i="15"/>
  <c r="C386" i="15"/>
  <c r="D386" i="15"/>
  <c r="E386" i="15"/>
  <c r="F386" i="15"/>
  <c r="G386" i="15"/>
  <c r="H386" i="15"/>
  <c r="I386" i="15"/>
  <c r="J386" i="15"/>
  <c r="K386" i="15"/>
  <c r="L386" i="15"/>
  <c r="M386" i="15"/>
  <c r="N386" i="15"/>
  <c r="O386" i="15"/>
  <c r="A387" i="15"/>
  <c r="B387" i="15"/>
  <c r="C387" i="15"/>
  <c r="D387" i="15"/>
  <c r="E387" i="15"/>
  <c r="F387" i="15"/>
  <c r="G387" i="15"/>
  <c r="H387" i="15"/>
  <c r="I387" i="15"/>
  <c r="J387" i="15"/>
  <c r="K387" i="15"/>
  <c r="L387" i="15"/>
  <c r="M387" i="15"/>
  <c r="N387" i="15"/>
  <c r="O387" i="15"/>
  <c r="A388" i="15"/>
  <c r="B388" i="15"/>
  <c r="C388" i="15"/>
  <c r="D388" i="15"/>
  <c r="E388" i="15"/>
  <c r="F388" i="15"/>
  <c r="G388" i="15"/>
  <c r="H388" i="15"/>
  <c r="I388" i="15"/>
  <c r="J388" i="15"/>
  <c r="K388" i="15"/>
  <c r="L388" i="15"/>
  <c r="M388" i="15"/>
  <c r="N388" i="15"/>
  <c r="O388" i="15"/>
  <c r="A389" i="15"/>
  <c r="B389" i="15"/>
  <c r="C389" i="15"/>
  <c r="D389" i="15"/>
  <c r="E389" i="15"/>
  <c r="F389" i="15"/>
  <c r="G389" i="15"/>
  <c r="H389" i="15"/>
  <c r="I389" i="15"/>
  <c r="J389" i="15"/>
  <c r="K389" i="15"/>
  <c r="L389" i="15"/>
  <c r="M389" i="15"/>
  <c r="N389" i="15"/>
  <c r="O389" i="15"/>
  <c r="A390" i="15"/>
  <c r="B390" i="15"/>
  <c r="C390" i="15"/>
  <c r="D390" i="15"/>
  <c r="E390" i="15"/>
  <c r="F390" i="15"/>
  <c r="G390" i="15"/>
  <c r="H390" i="15"/>
  <c r="I390" i="15"/>
  <c r="J390" i="15"/>
  <c r="K390" i="15"/>
  <c r="L390" i="15"/>
  <c r="M390" i="15"/>
  <c r="N390" i="15"/>
  <c r="O390" i="15"/>
  <c r="A391" i="15"/>
  <c r="B391" i="15"/>
  <c r="C391" i="15"/>
  <c r="D391" i="15"/>
  <c r="E391" i="15"/>
  <c r="F391" i="15"/>
  <c r="G391" i="15"/>
  <c r="H391" i="15"/>
  <c r="I391" i="15"/>
  <c r="J391" i="15"/>
  <c r="K391" i="15"/>
  <c r="L391" i="15"/>
  <c r="M391" i="15"/>
  <c r="N391" i="15"/>
  <c r="O391" i="15"/>
  <c r="A392" i="15"/>
  <c r="B392" i="15"/>
  <c r="C392" i="15"/>
  <c r="D392" i="15"/>
  <c r="E392" i="15"/>
  <c r="F392" i="15"/>
  <c r="G392" i="15"/>
  <c r="H392" i="15"/>
  <c r="I392" i="15"/>
  <c r="J392" i="15"/>
  <c r="K392" i="15"/>
  <c r="L392" i="15"/>
  <c r="M392" i="15"/>
  <c r="N392" i="15"/>
  <c r="O392" i="15"/>
  <c r="A393" i="15"/>
  <c r="B393" i="15"/>
  <c r="C393" i="15"/>
  <c r="D393" i="15"/>
  <c r="E393" i="15"/>
  <c r="F393" i="15"/>
  <c r="G393" i="15"/>
  <c r="H393" i="15"/>
  <c r="I393" i="15"/>
  <c r="J393" i="15"/>
  <c r="K393" i="15"/>
  <c r="L393" i="15"/>
  <c r="M393" i="15"/>
  <c r="N393" i="15"/>
  <c r="O393" i="15"/>
  <c r="A394" i="15"/>
  <c r="B394" i="15"/>
  <c r="C394" i="15"/>
  <c r="D394" i="15"/>
  <c r="E394" i="15"/>
  <c r="F394" i="15"/>
  <c r="G394" i="15"/>
  <c r="H394" i="15"/>
  <c r="I394" i="15"/>
  <c r="J394" i="15"/>
  <c r="K394" i="15"/>
  <c r="L394" i="15"/>
  <c r="M394" i="15"/>
  <c r="N394" i="15"/>
  <c r="O394" i="15"/>
  <c r="A395" i="15"/>
  <c r="B395" i="15"/>
  <c r="C395" i="15"/>
  <c r="D395" i="15"/>
  <c r="E395" i="15"/>
  <c r="F395" i="15"/>
  <c r="G395" i="15"/>
  <c r="H395" i="15"/>
  <c r="I395" i="15"/>
  <c r="J395" i="15"/>
  <c r="K395" i="15"/>
  <c r="L395" i="15"/>
  <c r="M395" i="15"/>
  <c r="N395" i="15"/>
  <c r="O395" i="15"/>
  <c r="A396" i="15"/>
  <c r="B396" i="15"/>
  <c r="C396" i="15"/>
  <c r="D396" i="15"/>
  <c r="E396" i="15"/>
  <c r="F396" i="15"/>
  <c r="G396" i="15"/>
  <c r="H396" i="15"/>
  <c r="I396" i="15"/>
  <c r="J396" i="15"/>
  <c r="K396" i="15"/>
  <c r="L396" i="15"/>
  <c r="M396" i="15"/>
  <c r="N396" i="15"/>
  <c r="O396" i="15"/>
  <c r="A397" i="15"/>
  <c r="B397" i="15"/>
  <c r="C397" i="15"/>
  <c r="D397" i="15"/>
  <c r="E397" i="15"/>
  <c r="F397" i="15"/>
  <c r="G397" i="15"/>
  <c r="H397" i="15"/>
  <c r="I397" i="15"/>
  <c r="J397" i="15"/>
  <c r="K397" i="15"/>
  <c r="L397" i="15"/>
  <c r="M397" i="15"/>
  <c r="N397" i="15"/>
  <c r="O397" i="15"/>
  <c r="A398" i="15"/>
  <c r="B398" i="15"/>
  <c r="C398" i="15"/>
  <c r="D398" i="15"/>
  <c r="E398" i="15"/>
  <c r="F398" i="15"/>
  <c r="G398" i="15"/>
  <c r="H398" i="15"/>
  <c r="I398" i="15"/>
  <c r="J398" i="15"/>
  <c r="K398" i="15"/>
  <c r="L398" i="15"/>
  <c r="M398" i="15"/>
  <c r="N398" i="15"/>
  <c r="O398" i="15"/>
  <c r="A399" i="15"/>
  <c r="B399" i="15"/>
  <c r="C399" i="15"/>
  <c r="D399" i="15"/>
  <c r="E399" i="15"/>
  <c r="F399" i="15"/>
  <c r="G399" i="15"/>
  <c r="H399" i="15"/>
  <c r="I399" i="15"/>
  <c r="J399" i="15"/>
  <c r="K399" i="15"/>
  <c r="L399" i="15"/>
  <c r="M399" i="15"/>
  <c r="N399" i="15"/>
  <c r="O399" i="15"/>
  <c r="A400" i="15"/>
  <c r="B400" i="15"/>
  <c r="C400" i="15"/>
  <c r="D400" i="15"/>
  <c r="E400" i="15"/>
  <c r="F400" i="15"/>
  <c r="G400" i="15"/>
  <c r="H400" i="15"/>
  <c r="I400" i="15"/>
  <c r="J400" i="15"/>
  <c r="K400" i="15"/>
  <c r="L400" i="15"/>
  <c r="M400" i="15"/>
  <c r="N400" i="15"/>
  <c r="O400" i="15"/>
  <c r="A401" i="15"/>
  <c r="B401" i="15"/>
  <c r="C401" i="15"/>
  <c r="D401" i="15"/>
  <c r="E401" i="15"/>
  <c r="F401" i="15"/>
  <c r="G401" i="15"/>
  <c r="H401" i="15"/>
  <c r="I401" i="15"/>
  <c r="J401" i="15"/>
  <c r="K401" i="15"/>
  <c r="L401" i="15"/>
  <c r="M401" i="15"/>
  <c r="N401" i="15"/>
  <c r="O401" i="15"/>
  <c r="A402" i="15"/>
  <c r="B402" i="15"/>
  <c r="C402" i="15"/>
  <c r="D402" i="15"/>
  <c r="E402" i="15"/>
  <c r="F402" i="15"/>
  <c r="G402" i="15"/>
  <c r="H402" i="15"/>
  <c r="I402" i="15"/>
  <c r="J402" i="15"/>
  <c r="K402" i="15"/>
  <c r="L402" i="15"/>
  <c r="M402" i="15"/>
  <c r="N402" i="15"/>
  <c r="O402" i="15"/>
  <c r="A403" i="15"/>
  <c r="B403" i="15"/>
  <c r="C403" i="15"/>
  <c r="D403" i="15"/>
  <c r="E403" i="15"/>
  <c r="F403" i="15"/>
  <c r="G403" i="15"/>
  <c r="H403" i="15"/>
  <c r="I403" i="15"/>
  <c r="J403" i="15"/>
  <c r="K403" i="15"/>
  <c r="L403" i="15"/>
  <c r="M403" i="15"/>
  <c r="N403" i="15"/>
  <c r="O403" i="15"/>
  <c r="A404" i="15"/>
  <c r="B404" i="15"/>
  <c r="C404" i="15"/>
  <c r="D404" i="15"/>
  <c r="E404" i="15"/>
  <c r="F404" i="15"/>
  <c r="G404" i="15"/>
  <c r="H404" i="15"/>
  <c r="I404" i="15"/>
  <c r="J404" i="15"/>
  <c r="K404" i="15"/>
  <c r="L404" i="15"/>
  <c r="M404" i="15"/>
  <c r="N404" i="15"/>
  <c r="O404" i="15"/>
  <c r="A405" i="15"/>
  <c r="B405" i="15"/>
  <c r="C405" i="15"/>
  <c r="D405" i="15"/>
  <c r="E405" i="15"/>
  <c r="F405" i="15"/>
  <c r="G405" i="15"/>
  <c r="H405" i="15"/>
  <c r="I405" i="15"/>
  <c r="J405" i="15"/>
  <c r="K405" i="15"/>
  <c r="L405" i="15"/>
  <c r="M405" i="15"/>
  <c r="N405" i="15"/>
  <c r="O405" i="15"/>
  <c r="A406" i="15"/>
  <c r="B406" i="15"/>
  <c r="C406" i="15"/>
  <c r="D406" i="15"/>
  <c r="E406" i="15"/>
  <c r="F406" i="15"/>
  <c r="G406" i="15"/>
  <c r="H406" i="15"/>
  <c r="I406" i="15"/>
  <c r="J406" i="15"/>
  <c r="K406" i="15"/>
  <c r="L406" i="15"/>
  <c r="M406" i="15"/>
  <c r="N406" i="15"/>
  <c r="O406" i="15"/>
  <c r="A407" i="15"/>
  <c r="B407" i="15"/>
  <c r="C407" i="15"/>
  <c r="D407" i="15"/>
  <c r="E407" i="15"/>
  <c r="F407" i="15"/>
  <c r="G407" i="15"/>
  <c r="H407" i="15"/>
  <c r="I407" i="15"/>
  <c r="J407" i="15"/>
  <c r="K407" i="15"/>
  <c r="L407" i="15"/>
  <c r="M407" i="15"/>
  <c r="N407" i="15"/>
  <c r="O407" i="15"/>
  <c r="A408" i="15"/>
  <c r="B408" i="15"/>
  <c r="C408" i="15"/>
  <c r="D408" i="15"/>
  <c r="E408" i="15"/>
  <c r="F408" i="15"/>
  <c r="G408" i="15"/>
  <c r="H408" i="15"/>
  <c r="I408" i="15"/>
  <c r="J408" i="15"/>
  <c r="K408" i="15"/>
  <c r="L408" i="15"/>
  <c r="M408" i="15"/>
  <c r="N408" i="15"/>
  <c r="O408" i="15"/>
  <c r="A409" i="15"/>
  <c r="B409" i="15"/>
  <c r="C409" i="15"/>
  <c r="D409" i="15"/>
  <c r="E409" i="15"/>
  <c r="F409" i="15"/>
  <c r="G409" i="15"/>
  <c r="H409" i="15"/>
  <c r="I409" i="15"/>
  <c r="J409" i="15"/>
  <c r="K409" i="15"/>
  <c r="L409" i="15"/>
  <c r="M409" i="15"/>
  <c r="N409" i="15"/>
  <c r="O409" i="15"/>
  <c r="A410" i="15"/>
  <c r="B410" i="15"/>
  <c r="C410" i="15"/>
  <c r="D410" i="15"/>
  <c r="E410" i="15"/>
  <c r="F410" i="15"/>
  <c r="G410" i="15"/>
  <c r="H410" i="15"/>
  <c r="I410" i="15"/>
  <c r="J410" i="15"/>
  <c r="K410" i="15"/>
  <c r="L410" i="15"/>
  <c r="M410" i="15"/>
  <c r="N410" i="15"/>
  <c r="O410" i="15"/>
  <c r="A411" i="15"/>
  <c r="B411" i="15"/>
  <c r="C411" i="15"/>
  <c r="D411" i="15"/>
  <c r="E411" i="15"/>
  <c r="F411" i="15"/>
  <c r="G411" i="15"/>
  <c r="H411" i="15"/>
  <c r="I411" i="15"/>
  <c r="J411" i="15"/>
  <c r="K411" i="15"/>
  <c r="L411" i="15"/>
  <c r="M411" i="15"/>
  <c r="N411" i="15"/>
  <c r="O411" i="15"/>
  <c r="A412" i="15"/>
  <c r="B412" i="15"/>
  <c r="C412" i="15"/>
  <c r="D412" i="15"/>
  <c r="E412" i="15"/>
  <c r="F412" i="15"/>
  <c r="G412" i="15"/>
  <c r="H412" i="15"/>
  <c r="I412" i="15"/>
  <c r="J412" i="15"/>
  <c r="K412" i="15"/>
  <c r="L412" i="15"/>
  <c r="M412" i="15"/>
  <c r="N412" i="15"/>
  <c r="O412" i="15"/>
  <c r="A413" i="15"/>
  <c r="B413" i="15"/>
  <c r="C413" i="15"/>
  <c r="D413" i="15"/>
  <c r="E413" i="15"/>
  <c r="F413" i="15"/>
  <c r="G413" i="15"/>
  <c r="H413" i="15"/>
  <c r="I413" i="15"/>
  <c r="J413" i="15"/>
  <c r="K413" i="15"/>
  <c r="L413" i="15"/>
  <c r="M413" i="15"/>
  <c r="N413" i="15"/>
  <c r="O413" i="15"/>
  <c r="A414" i="15"/>
  <c r="B414" i="15"/>
  <c r="C414" i="15"/>
  <c r="D414" i="15"/>
  <c r="E414" i="15"/>
  <c r="F414" i="15"/>
  <c r="G414" i="15"/>
  <c r="H414" i="15"/>
  <c r="I414" i="15"/>
  <c r="J414" i="15"/>
  <c r="K414" i="15"/>
  <c r="L414" i="15"/>
  <c r="M414" i="15"/>
  <c r="N414" i="15"/>
  <c r="O414" i="15"/>
  <c r="A415" i="15"/>
  <c r="B415" i="15"/>
  <c r="C415" i="15"/>
  <c r="D415" i="15"/>
  <c r="E415" i="15"/>
  <c r="F415" i="15"/>
  <c r="G415" i="15"/>
  <c r="H415" i="15"/>
  <c r="I415" i="15"/>
  <c r="J415" i="15"/>
  <c r="K415" i="15"/>
  <c r="L415" i="15"/>
  <c r="M415" i="15"/>
  <c r="N415" i="15"/>
  <c r="O415" i="15"/>
  <c r="A416" i="15"/>
  <c r="B416" i="15"/>
  <c r="C416" i="15"/>
  <c r="D416" i="15"/>
  <c r="E416" i="15"/>
  <c r="F416" i="15"/>
  <c r="G416" i="15"/>
  <c r="H416" i="15"/>
  <c r="I416" i="15"/>
  <c r="J416" i="15"/>
  <c r="K416" i="15"/>
  <c r="L416" i="15"/>
  <c r="M416" i="15"/>
  <c r="N416" i="15"/>
  <c r="O416" i="15"/>
  <c r="A417" i="15"/>
  <c r="B417" i="15"/>
  <c r="C417" i="15"/>
  <c r="D417" i="15"/>
  <c r="E417" i="15"/>
  <c r="F417" i="15"/>
  <c r="G417" i="15"/>
  <c r="H417" i="15"/>
  <c r="I417" i="15"/>
  <c r="J417" i="15"/>
  <c r="K417" i="15"/>
  <c r="L417" i="15"/>
  <c r="M417" i="15"/>
  <c r="N417" i="15"/>
  <c r="O417" i="15"/>
  <c r="A418" i="15"/>
  <c r="B418" i="15"/>
  <c r="C418" i="15"/>
  <c r="D418" i="15"/>
  <c r="E418" i="15"/>
  <c r="F418" i="15"/>
  <c r="G418" i="15"/>
  <c r="H418" i="15"/>
  <c r="I418" i="15"/>
  <c r="J418" i="15"/>
  <c r="K418" i="15"/>
  <c r="L418" i="15"/>
  <c r="M418" i="15"/>
  <c r="N418" i="15"/>
  <c r="O418" i="15"/>
  <c r="A419" i="15"/>
  <c r="B419" i="15"/>
  <c r="C419" i="15"/>
  <c r="D419" i="15"/>
  <c r="E419" i="15"/>
  <c r="F419" i="15"/>
  <c r="G419" i="15"/>
  <c r="H419" i="15"/>
  <c r="I419" i="15"/>
  <c r="J419" i="15"/>
  <c r="K419" i="15"/>
  <c r="L419" i="15"/>
  <c r="M419" i="15"/>
  <c r="N419" i="15"/>
  <c r="O419" i="15"/>
  <c r="A420" i="15"/>
  <c r="B420" i="15"/>
  <c r="C420" i="15"/>
  <c r="D420" i="15"/>
  <c r="E420" i="15"/>
  <c r="F420" i="15"/>
  <c r="G420" i="15"/>
  <c r="H420" i="15"/>
  <c r="I420" i="15"/>
  <c r="J420" i="15"/>
  <c r="K420" i="15"/>
  <c r="L420" i="15"/>
  <c r="M420" i="15"/>
  <c r="N420" i="15"/>
  <c r="O420" i="15"/>
  <c r="A421" i="15"/>
  <c r="B421" i="15"/>
  <c r="C421" i="15"/>
  <c r="D421" i="15"/>
  <c r="E421" i="15"/>
  <c r="F421" i="15"/>
  <c r="G421" i="15"/>
  <c r="H421" i="15"/>
  <c r="I421" i="15"/>
  <c r="J421" i="15"/>
  <c r="K421" i="15"/>
  <c r="L421" i="15"/>
  <c r="M421" i="15"/>
  <c r="N421" i="15"/>
  <c r="O421" i="15"/>
  <c r="A422" i="15"/>
  <c r="B422" i="15"/>
  <c r="C422" i="15"/>
  <c r="D422" i="15"/>
  <c r="E422" i="15"/>
  <c r="F422" i="15"/>
  <c r="G422" i="15"/>
  <c r="H422" i="15"/>
  <c r="I422" i="15"/>
  <c r="J422" i="15"/>
  <c r="K422" i="15"/>
  <c r="L422" i="15"/>
  <c r="M422" i="15"/>
  <c r="N422" i="15"/>
  <c r="O422" i="15"/>
  <c r="A423" i="15"/>
  <c r="B423" i="15"/>
  <c r="C423" i="15"/>
  <c r="D423" i="15"/>
  <c r="E423" i="15"/>
  <c r="F423" i="15"/>
  <c r="G423" i="15"/>
  <c r="H423" i="15"/>
  <c r="I423" i="15"/>
  <c r="J423" i="15"/>
  <c r="K423" i="15"/>
  <c r="L423" i="15"/>
  <c r="M423" i="15"/>
  <c r="N423" i="15"/>
  <c r="O423" i="15"/>
  <c r="A424" i="15"/>
  <c r="B424" i="15"/>
  <c r="C424" i="15"/>
  <c r="D424" i="15"/>
  <c r="E424" i="15"/>
  <c r="F424" i="15"/>
  <c r="G424" i="15"/>
  <c r="H424" i="15"/>
  <c r="I424" i="15"/>
  <c r="J424" i="15"/>
  <c r="K424" i="15"/>
  <c r="L424" i="15"/>
  <c r="M424" i="15"/>
  <c r="N424" i="15"/>
  <c r="O424" i="15"/>
  <c r="A425" i="15"/>
  <c r="B425" i="15"/>
  <c r="C425" i="15"/>
  <c r="D425" i="15"/>
  <c r="E425" i="15"/>
  <c r="F425" i="15"/>
  <c r="G425" i="15"/>
  <c r="H425" i="15"/>
  <c r="I425" i="15"/>
  <c r="J425" i="15"/>
  <c r="K425" i="15"/>
  <c r="L425" i="15"/>
  <c r="M425" i="15"/>
  <c r="N425" i="15"/>
  <c r="O425" i="15"/>
  <c r="A426" i="15"/>
  <c r="B426" i="15"/>
  <c r="C426" i="15"/>
  <c r="D426" i="15"/>
  <c r="E426" i="15"/>
  <c r="F426" i="15"/>
  <c r="G426" i="15"/>
  <c r="H426" i="15"/>
  <c r="I426" i="15"/>
  <c r="J426" i="15"/>
  <c r="K426" i="15"/>
  <c r="L426" i="15"/>
  <c r="M426" i="15"/>
  <c r="N426" i="15"/>
  <c r="O426" i="15"/>
  <c r="A427" i="15"/>
  <c r="B427" i="15"/>
  <c r="C427" i="15"/>
  <c r="D427" i="15"/>
  <c r="E427" i="15"/>
  <c r="F427" i="15"/>
  <c r="G427" i="15"/>
  <c r="H427" i="15"/>
  <c r="I427" i="15"/>
  <c r="J427" i="15"/>
  <c r="K427" i="15"/>
  <c r="L427" i="15"/>
  <c r="M427" i="15"/>
  <c r="N427" i="15"/>
  <c r="O427" i="15"/>
  <c r="A428" i="15"/>
  <c r="B428" i="15"/>
  <c r="C428" i="15"/>
  <c r="D428" i="15"/>
  <c r="E428" i="15"/>
  <c r="F428" i="15"/>
  <c r="G428" i="15"/>
  <c r="H428" i="15"/>
  <c r="I428" i="15"/>
  <c r="J428" i="15"/>
  <c r="K428" i="15"/>
  <c r="L428" i="15"/>
  <c r="M428" i="15"/>
  <c r="N428" i="15"/>
  <c r="O428" i="15"/>
  <c r="A429" i="15"/>
  <c r="B429" i="15"/>
  <c r="C429" i="15"/>
  <c r="D429" i="15"/>
  <c r="E429" i="15"/>
  <c r="F429" i="15"/>
  <c r="G429" i="15"/>
  <c r="H429" i="15"/>
  <c r="I429" i="15"/>
  <c r="J429" i="15"/>
  <c r="K429" i="15"/>
  <c r="L429" i="15"/>
  <c r="M429" i="15"/>
  <c r="N429" i="15"/>
  <c r="O429" i="15"/>
  <c r="A430" i="15"/>
  <c r="B430" i="15"/>
  <c r="C430" i="15"/>
  <c r="D430" i="15"/>
  <c r="E430" i="15"/>
  <c r="F430" i="15"/>
  <c r="G430" i="15"/>
  <c r="H430" i="15"/>
  <c r="I430" i="15"/>
  <c r="J430" i="15"/>
  <c r="K430" i="15"/>
  <c r="L430" i="15"/>
  <c r="M430" i="15"/>
  <c r="N430" i="15"/>
  <c r="O430" i="15"/>
  <c r="A431" i="15"/>
  <c r="B431" i="15"/>
  <c r="C431" i="15"/>
  <c r="D431" i="15"/>
  <c r="E431" i="15"/>
  <c r="F431" i="15"/>
  <c r="G431" i="15"/>
  <c r="H431" i="15"/>
  <c r="I431" i="15"/>
  <c r="J431" i="15"/>
  <c r="K431" i="15"/>
  <c r="L431" i="15"/>
  <c r="M431" i="15"/>
  <c r="N431" i="15"/>
  <c r="O431" i="15"/>
  <c r="A432" i="15"/>
  <c r="B432" i="15"/>
  <c r="C432" i="15"/>
  <c r="D432" i="15"/>
  <c r="E432" i="15"/>
  <c r="F432" i="15"/>
  <c r="G432" i="15"/>
  <c r="H432" i="15"/>
  <c r="I432" i="15"/>
  <c r="J432" i="15"/>
  <c r="K432" i="15"/>
  <c r="L432" i="15"/>
  <c r="M432" i="15"/>
  <c r="N432" i="15"/>
  <c r="O432" i="15"/>
  <c r="A433" i="15"/>
  <c r="B433" i="15"/>
  <c r="C433" i="15"/>
  <c r="D433" i="15"/>
  <c r="E433" i="15"/>
  <c r="F433" i="15"/>
  <c r="G433" i="15"/>
  <c r="H433" i="15"/>
  <c r="I433" i="15"/>
  <c r="J433" i="15"/>
  <c r="K433" i="15"/>
  <c r="L433" i="15"/>
  <c r="M433" i="15"/>
  <c r="N433" i="15"/>
  <c r="O433" i="15"/>
  <c r="A434" i="15"/>
  <c r="B434" i="15"/>
  <c r="C434" i="15"/>
  <c r="D434" i="15"/>
  <c r="E434" i="15"/>
  <c r="F434" i="15"/>
  <c r="G434" i="15"/>
  <c r="H434" i="15"/>
  <c r="I434" i="15"/>
  <c r="J434" i="15"/>
  <c r="K434" i="15"/>
  <c r="L434" i="15"/>
  <c r="M434" i="15"/>
  <c r="N434" i="15"/>
  <c r="O434" i="15"/>
  <c r="A435" i="15"/>
  <c r="B435" i="15"/>
  <c r="C435" i="15"/>
  <c r="D435" i="15"/>
  <c r="E435" i="15"/>
  <c r="F435" i="15"/>
  <c r="G435" i="15"/>
  <c r="H435" i="15"/>
  <c r="I435" i="15"/>
  <c r="J435" i="15"/>
  <c r="K435" i="15"/>
  <c r="L435" i="15"/>
  <c r="M435" i="15"/>
  <c r="N435" i="15"/>
  <c r="O435" i="15"/>
  <c r="A436" i="15"/>
  <c r="B436" i="15"/>
  <c r="C436" i="15"/>
  <c r="D436" i="15"/>
  <c r="E436" i="15"/>
  <c r="F436" i="15"/>
  <c r="G436" i="15"/>
  <c r="H436" i="15"/>
  <c r="I436" i="15"/>
  <c r="J436" i="15"/>
  <c r="K436" i="15"/>
  <c r="L436" i="15"/>
  <c r="M436" i="15"/>
  <c r="N436" i="15"/>
  <c r="O436" i="15"/>
  <c r="A437" i="15"/>
  <c r="B437" i="15"/>
  <c r="C437" i="15"/>
  <c r="D437" i="15"/>
  <c r="E437" i="15"/>
  <c r="F437" i="15"/>
  <c r="G437" i="15"/>
  <c r="H437" i="15"/>
  <c r="I437" i="15"/>
  <c r="J437" i="15"/>
  <c r="K437" i="15"/>
  <c r="L437" i="15"/>
  <c r="M437" i="15"/>
  <c r="N437" i="15"/>
  <c r="O437" i="15"/>
  <c r="A438" i="15"/>
  <c r="B438" i="15"/>
  <c r="C438" i="15"/>
  <c r="D438" i="15"/>
  <c r="E438" i="15"/>
  <c r="F438" i="15"/>
  <c r="G438" i="15"/>
  <c r="H438" i="15"/>
  <c r="I438" i="15"/>
  <c r="J438" i="15"/>
  <c r="K438" i="15"/>
  <c r="L438" i="15"/>
  <c r="M438" i="15"/>
  <c r="N438" i="15"/>
  <c r="O438" i="15"/>
  <c r="A439" i="15"/>
  <c r="B439" i="15"/>
  <c r="C439" i="15"/>
  <c r="D439" i="15"/>
  <c r="E439" i="15"/>
  <c r="F439" i="15"/>
  <c r="G439" i="15"/>
  <c r="H439" i="15"/>
  <c r="I439" i="15"/>
  <c r="J439" i="15"/>
  <c r="K439" i="15"/>
  <c r="L439" i="15"/>
  <c r="M439" i="15"/>
  <c r="N439" i="15"/>
  <c r="O439" i="15"/>
  <c r="A440" i="15"/>
  <c r="B440" i="15"/>
  <c r="C440" i="15"/>
  <c r="D440" i="15"/>
  <c r="E440" i="15"/>
  <c r="F440" i="15"/>
  <c r="G440" i="15"/>
  <c r="H440" i="15"/>
  <c r="I440" i="15"/>
  <c r="J440" i="15"/>
  <c r="K440" i="15"/>
  <c r="L440" i="15"/>
  <c r="M440" i="15"/>
  <c r="N440" i="15"/>
  <c r="O440" i="15"/>
  <c r="A441" i="15"/>
  <c r="B441" i="15"/>
  <c r="C441" i="15"/>
  <c r="D441" i="15"/>
  <c r="E441" i="15"/>
  <c r="F441" i="15"/>
  <c r="G441" i="15"/>
  <c r="H441" i="15"/>
  <c r="I441" i="15"/>
  <c r="J441" i="15"/>
  <c r="K441" i="15"/>
  <c r="L441" i="15"/>
  <c r="M441" i="15"/>
  <c r="N441" i="15"/>
  <c r="O441" i="15"/>
  <c r="A442" i="15"/>
  <c r="B442" i="15"/>
  <c r="C442" i="15"/>
  <c r="D442" i="15"/>
  <c r="E442" i="15"/>
  <c r="F442" i="15"/>
  <c r="G442" i="15"/>
  <c r="H442" i="15"/>
  <c r="I442" i="15"/>
  <c r="J442" i="15"/>
  <c r="K442" i="15"/>
  <c r="L442" i="15"/>
  <c r="M442" i="15"/>
  <c r="N442" i="15"/>
  <c r="O442" i="15"/>
  <c r="A443" i="15"/>
  <c r="B443" i="15"/>
  <c r="C443" i="15"/>
  <c r="D443" i="15"/>
  <c r="E443" i="15"/>
  <c r="F443" i="15"/>
  <c r="G443" i="15"/>
  <c r="H443" i="15"/>
  <c r="I443" i="15"/>
  <c r="J443" i="15"/>
  <c r="K443" i="15"/>
  <c r="L443" i="15"/>
  <c r="M443" i="15"/>
  <c r="N443" i="15"/>
  <c r="O443" i="15"/>
  <c r="A444" i="15"/>
  <c r="B444" i="15"/>
  <c r="C444" i="15"/>
  <c r="D444" i="15"/>
  <c r="E444" i="15"/>
  <c r="F444" i="15"/>
  <c r="G444" i="15"/>
  <c r="H444" i="15"/>
  <c r="I444" i="15"/>
  <c r="J444" i="15"/>
  <c r="K444" i="15"/>
  <c r="L444" i="15"/>
  <c r="M444" i="15"/>
  <c r="N444" i="15"/>
  <c r="O444" i="15"/>
  <c r="A445" i="15"/>
  <c r="B445" i="15"/>
  <c r="C445" i="15"/>
  <c r="D445" i="15"/>
  <c r="E445" i="15"/>
  <c r="F445" i="15"/>
  <c r="G445" i="15"/>
  <c r="H445" i="15"/>
  <c r="I445" i="15"/>
  <c r="J445" i="15"/>
  <c r="K445" i="15"/>
  <c r="L445" i="15"/>
  <c r="M445" i="15"/>
  <c r="N445" i="15"/>
  <c r="O445" i="15"/>
  <c r="A446" i="15"/>
  <c r="B446" i="15"/>
  <c r="C446" i="15"/>
  <c r="D446" i="15"/>
  <c r="E446" i="15"/>
  <c r="F446" i="15"/>
  <c r="G446" i="15"/>
  <c r="H446" i="15"/>
  <c r="I446" i="15"/>
  <c r="J446" i="15"/>
  <c r="K446" i="15"/>
  <c r="L446" i="15"/>
  <c r="M446" i="15"/>
  <c r="N446" i="15"/>
  <c r="O446" i="15"/>
  <c r="A447" i="15"/>
  <c r="B447" i="15"/>
  <c r="C447" i="15"/>
  <c r="D447" i="15"/>
  <c r="E447" i="15"/>
  <c r="F447" i="15"/>
  <c r="G447" i="15"/>
  <c r="H447" i="15"/>
  <c r="I447" i="15"/>
  <c r="J447" i="15"/>
  <c r="K447" i="15"/>
  <c r="L447" i="15"/>
  <c r="M447" i="15"/>
  <c r="N447" i="15"/>
  <c r="O447" i="15"/>
  <c r="A448" i="15"/>
  <c r="B448" i="15"/>
  <c r="C448" i="15"/>
  <c r="D448" i="15"/>
  <c r="E448" i="15"/>
  <c r="F448" i="15"/>
  <c r="G448" i="15"/>
  <c r="H448" i="15"/>
  <c r="I448" i="15"/>
  <c r="J448" i="15"/>
  <c r="K448" i="15"/>
  <c r="L448" i="15"/>
  <c r="M448" i="15"/>
  <c r="N448" i="15"/>
  <c r="O448" i="15"/>
  <c r="A449" i="15"/>
  <c r="B449" i="15"/>
  <c r="C449" i="15"/>
  <c r="D449" i="15"/>
  <c r="E449" i="15"/>
  <c r="F449" i="15"/>
  <c r="G449" i="15"/>
  <c r="H449" i="15"/>
  <c r="I449" i="15"/>
  <c r="J449" i="15"/>
  <c r="K449" i="15"/>
  <c r="L449" i="15"/>
  <c r="M449" i="15"/>
  <c r="N449" i="15"/>
  <c r="O449" i="15"/>
  <c r="A450" i="15"/>
  <c r="B450" i="15"/>
  <c r="C450" i="15"/>
  <c r="D450" i="15"/>
  <c r="E450" i="15"/>
  <c r="F450" i="15"/>
  <c r="G450" i="15"/>
  <c r="H450" i="15"/>
  <c r="I450" i="15"/>
  <c r="J450" i="15"/>
  <c r="K450" i="15"/>
  <c r="L450" i="15"/>
  <c r="M450" i="15"/>
  <c r="N450" i="15"/>
  <c r="O450" i="15"/>
  <c r="A451" i="15"/>
  <c r="B451" i="15"/>
  <c r="C451" i="15"/>
  <c r="D451" i="15"/>
  <c r="E451" i="15"/>
  <c r="F451" i="15"/>
  <c r="G451" i="15"/>
  <c r="H451" i="15"/>
  <c r="I451" i="15"/>
  <c r="J451" i="15"/>
  <c r="K451" i="15"/>
  <c r="L451" i="15"/>
  <c r="M451" i="15"/>
  <c r="N451" i="15"/>
  <c r="O451" i="15"/>
  <c r="A452" i="15"/>
  <c r="B452" i="15"/>
  <c r="C452" i="15"/>
  <c r="D452" i="15"/>
  <c r="E452" i="15"/>
  <c r="F452" i="15"/>
  <c r="G452" i="15"/>
  <c r="H452" i="15"/>
  <c r="I452" i="15"/>
  <c r="J452" i="15"/>
  <c r="K452" i="15"/>
  <c r="L452" i="15"/>
  <c r="M452" i="15"/>
  <c r="N452" i="15"/>
  <c r="O452" i="15"/>
  <c r="A453" i="15"/>
  <c r="B453" i="15"/>
  <c r="C453" i="15"/>
  <c r="D453" i="15"/>
  <c r="E453" i="15"/>
  <c r="F453" i="15"/>
  <c r="G453" i="15"/>
  <c r="H453" i="15"/>
  <c r="I453" i="15"/>
  <c r="J453" i="15"/>
  <c r="K453" i="15"/>
  <c r="L453" i="15"/>
  <c r="M453" i="15"/>
  <c r="N453" i="15"/>
  <c r="O453" i="15"/>
  <c r="A454" i="15"/>
  <c r="B454" i="15"/>
  <c r="C454" i="15"/>
  <c r="D454" i="15"/>
  <c r="E454" i="15"/>
  <c r="F454" i="15"/>
  <c r="G454" i="15"/>
  <c r="H454" i="15"/>
  <c r="I454" i="15"/>
  <c r="J454" i="15"/>
  <c r="K454" i="15"/>
  <c r="L454" i="15"/>
  <c r="M454" i="15"/>
  <c r="N454" i="15"/>
  <c r="O454" i="15"/>
  <c r="A455" i="15"/>
  <c r="B455" i="15"/>
  <c r="C455" i="15"/>
  <c r="D455" i="15"/>
  <c r="E455" i="15"/>
  <c r="F455" i="15"/>
  <c r="G455" i="15"/>
  <c r="H455" i="15"/>
  <c r="I455" i="15"/>
  <c r="J455" i="15"/>
  <c r="K455" i="15"/>
  <c r="L455" i="15"/>
  <c r="M455" i="15"/>
  <c r="N455" i="15"/>
  <c r="O455" i="15"/>
  <c r="A456" i="15"/>
  <c r="B456" i="15"/>
  <c r="C456" i="15"/>
  <c r="D456" i="15"/>
  <c r="E456" i="15"/>
  <c r="F456" i="15"/>
  <c r="G456" i="15"/>
  <c r="H456" i="15"/>
  <c r="I456" i="15"/>
  <c r="J456" i="15"/>
  <c r="K456" i="15"/>
  <c r="L456" i="15"/>
  <c r="M456" i="15"/>
  <c r="N456" i="15"/>
  <c r="O456" i="15"/>
  <c r="A457" i="15"/>
  <c r="B457" i="15"/>
  <c r="C457" i="15"/>
  <c r="D457" i="15"/>
  <c r="E457" i="15"/>
  <c r="F457" i="15"/>
  <c r="G457" i="15"/>
  <c r="H457" i="15"/>
  <c r="I457" i="15"/>
  <c r="J457" i="15"/>
  <c r="K457" i="15"/>
  <c r="L457" i="15"/>
  <c r="M457" i="15"/>
  <c r="N457" i="15"/>
  <c r="O457" i="15"/>
  <c r="A458" i="15"/>
  <c r="B458" i="15"/>
  <c r="C458" i="15"/>
  <c r="D458" i="15"/>
  <c r="E458" i="15"/>
  <c r="F458" i="15"/>
  <c r="G458" i="15"/>
  <c r="H458" i="15"/>
  <c r="I458" i="15"/>
  <c r="J458" i="15"/>
  <c r="K458" i="15"/>
  <c r="L458" i="15"/>
  <c r="M458" i="15"/>
  <c r="N458" i="15"/>
  <c r="O458" i="15"/>
  <c r="A459" i="15"/>
  <c r="B459" i="15"/>
  <c r="C459" i="15"/>
  <c r="D459" i="15"/>
  <c r="E459" i="15"/>
  <c r="F459" i="15"/>
  <c r="G459" i="15"/>
  <c r="H459" i="15"/>
  <c r="I459" i="15"/>
  <c r="J459" i="15"/>
  <c r="K459" i="15"/>
  <c r="L459" i="15"/>
  <c r="M459" i="15"/>
  <c r="N459" i="15"/>
  <c r="O459" i="15"/>
  <c r="A460" i="15"/>
  <c r="B460" i="15"/>
  <c r="C460" i="15"/>
  <c r="D460" i="15"/>
  <c r="E460" i="15"/>
  <c r="F460" i="15"/>
  <c r="G460" i="15"/>
  <c r="H460" i="15"/>
  <c r="I460" i="15"/>
  <c r="J460" i="15"/>
  <c r="K460" i="15"/>
  <c r="L460" i="15"/>
  <c r="M460" i="15"/>
  <c r="N460" i="15"/>
  <c r="O460" i="15"/>
  <c r="A461" i="15"/>
  <c r="B461" i="15"/>
  <c r="C461" i="15"/>
  <c r="D461" i="15"/>
  <c r="E461" i="15"/>
  <c r="F461" i="15"/>
  <c r="G461" i="15"/>
  <c r="H461" i="15"/>
  <c r="I461" i="15"/>
  <c r="J461" i="15"/>
  <c r="K461" i="15"/>
  <c r="L461" i="15"/>
  <c r="M461" i="15"/>
  <c r="N461" i="15"/>
  <c r="O461" i="15"/>
  <c r="A462" i="15"/>
  <c r="B462" i="15"/>
  <c r="C462" i="15"/>
  <c r="D462" i="15"/>
  <c r="E462" i="15"/>
  <c r="F462" i="15"/>
  <c r="G462" i="15"/>
  <c r="H462" i="15"/>
  <c r="I462" i="15"/>
  <c r="J462" i="15"/>
  <c r="K462" i="15"/>
  <c r="L462" i="15"/>
  <c r="M462" i="15"/>
  <c r="N462" i="15"/>
  <c r="O462" i="15"/>
  <c r="A463" i="15"/>
  <c r="B463" i="15"/>
  <c r="C463" i="15"/>
  <c r="D463" i="15"/>
  <c r="E463" i="15"/>
  <c r="F463" i="15"/>
  <c r="G463" i="15"/>
  <c r="H463" i="15"/>
  <c r="I463" i="15"/>
  <c r="J463" i="15"/>
  <c r="K463" i="15"/>
  <c r="L463" i="15"/>
  <c r="M463" i="15"/>
  <c r="N463" i="15"/>
  <c r="O463" i="15"/>
  <c r="A464" i="15"/>
  <c r="B464" i="15"/>
  <c r="C464" i="15"/>
  <c r="D464" i="15"/>
  <c r="E464" i="15"/>
  <c r="F464" i="15"/>
  <c r="G464" i="15"/>
  <c r="H464" i="15"/>
  <c r="I464" i="15"/>
  <c r="J464" i="15"/>
  <c r="K464" i="15"/>
  <c r="L464" i="15"/>
  <c r="M464" i="15"/>
  <c r="N464" i="15"/>
  <c r="O464" i="15"/>
  <c r="A465" i="15"/>
  <c r="B465" i="15"/>
  <c r="C465" i="15"/>
  <c r="D465" i="15"/>
  <c r="E465" i="15"/>
  <c r="F465" i="15"/>
  <c r="G465" i="15"/>
  <c r="H465" i="15"/>
  <c r="I465" i="15"/>
  <c r="J465" i="15"/>
  <c r="K465" i="15"/>
  <c r="L465" i="15"/>
  <c r="M465" i="15"/>
  <c r="N465" i="15"/>
  <c r="O465" i="15"/>
  <c r="A466" i="15"/>
  <c r="B466" i="15"/>
  <c r="C466" i="15"/>
  <c r="D466" i="15"/>
  <c r="E466" i="15"/>
  <c r="F466" i="15"/>
  <c r="G466" i="15"/>
  <c r="H466" i="15"/>
  <c r="I466" i="15"/>
  <c r="J466" i="15"/>
  <c r="K466" i="15"/>
  <c r="L466" i="15"/>
  <c r="M466" i="15"/>
  <c r="N466" i="15"/>
  <c r="O466" i="15"/>
  <c r="A467" i="15"/>
  <c r="B467" i="15"/>
  <c r="C467" i="15"/>
  <c r="D467" i="15"/>
  <c r="E467" i="15"/>
  <c r="F467" i="15"/>
  <c r="G467" i="15"/>
  <c r="H467" i="15"/>
  <c r="I467" i="15"/>
  <c r="J467" i="15"/>
  <c r="K467" i="15"/>
  <c r="L467" i="15"/>
  <c r="M467" i="15"/>
  <c r="N467" i="15"/>
  <c r="O467" i="15"/>
  <c r="A468" i="15"/>
  <c r="B468" i="15"/>
  <c r="C468" i="15"/>
  <c r="D468" i="15"/>
  <c r="E468" i="15"/>
  <c r="F468" i="15"/>
  <c r="G468" i="15"/>
  <c r="H468" i="15"/>
  <c r="I468" i="15"/>
  <c r="J468" i="15"/>
  <c r="K468" i="15"/>
  <c r="L468" i="15"/>
  <c r="M468" i="15"/>
  <c r="N468" i="15"/>
  <c r="O468" i="15"/>
  <c r="A469" i="15"/>
  <c r="B469" i="15"/>
  <c r="C469" i="15"/>
  <c r="D469" i="15"/>
  <c r="E469" i="15"/>
  <c r="F469" i="15"/>
  <c r="G469" i="15"/>
  <c r="H469" i="15"/>
  <c r="I469" i="15"/>
  <c r="J469" i="15"/>
  <c r="K469" i="15"/>
  <c r="L469" i="15"/>
  <c r="M469" i="15"/>
  <c r="N469" i="15"/>
  <c r="O469" i="15"/>
  <c r="A470" i="15"/>
  <c r="B470" i="15"/>
  <c r="C470" i="15"/>
  <c r="D470" i="15"/>
  <c r="E470" i="15"/>
  <c r="F470" i="15"/>
  <c r="G470" i="15"/>
  <c r="H470" i="15"/>
  <c r="I470" i="15"/>
  <c r="J470" i="15"/>
  <c r="K470" i="15"/>
  <c r="L470" i="15"/>
  <c r="M470" i="15"/>
  <c r="N470" i="15"/>
  <c r="O470" i="15"/>
  <c r="A471" i="15"/>
  <c r="B471" i="15"/>
  <c r="C471" i="15"/>
  <c r="D471" i="15"/>
  <c r="E471" i="15"/>
  <c r="F471" i="15"/>
  <c r="G471" i="15"/>
  <c r="H471" i="15"/>
  <c r="I471" i="15"/>
  <c r="J471" i="15"/>
  <c r="K471" i="15"/>
  <c r="L471" i="15"/>
  <c r="M471" i="15"/>
  <c r="N471" i="15"/>
  <c r="O471" i="15"/>
  <c r="A472" i="15"/>
  <c r="B472" i="15"/>
  <c r="C472" i="15"/>
  <c r="D472" i="15"/>
  <c r="E472" i="15"/>
  <c r="F472" i="15"/>
  <c r="G472" i="15"/>
  <c r="H472" i="15"/>
  <c r="I472" i="15"/>
  <c r="J472" i="15"/>
  <c r="K472" i="15"/>
  <c r="L472" i="15"/>
  <c r="M472" i="15"/>
  <c r="N472" i="15"/>
  <c r="O472" i="15"/>
  <c r="A473" i="15"/>
  <c r="B473" i="15"/>
  <c r="C473" i="15"/>
  <c r="D473" i="15"/>
  <c r="E473" i="15"/>
  <c r="F473" i="15"/>
  <c r="G473" i="15"/>
  <c r="H473" i="15"/>
  <c r="I473" i="15"/>
  <c r="J473" i="15"/>
  <c r="K473" i="15"/>
  <c r="L473" i="15"/>
  <c r="M473" i="15"/>
  <c r="N473" i="15"/>
  <c r="O473" i="15"/>
  <c r="A474" i="15"/>
  <c r="B474" i="15"/>
  <c r="C474" i="15"/>
  <c r="D474" i="15"/>
  <c r="E474" i="15"/>
  <c r="F474" i="15"/>
  <c r="G474" i="15"/>
  <c r="H474" i="15"/>
  <c r="I474" i="15"/>
  <c r="J474" i="15"/>
  <c r="K474" i="15"/>
  <c r="L474" i="15"/>
  <c r="M474" i="15"/>
  <c r="N474" i="15"/>
  <c r="O474" i="15"/>
  <c r="A475" i="15"/>
  <c r="B475" i="15"/>
  <c r="C475" i="15"/>
  <c r="D475" i="15"/>
  <c r="E475" i="15"/>
  <c r="F475" i="15"/>
  <c r="G475" i="15"/>
  <c r="H475" i="15"/>
  <c r="I475" i="15"/>
  <c r="J475" i="15"/>
  <c r="K475" i="15"/>
  <c r="L475" i="15"/>
  <c r="M475" i="15"/>
  <c r="N475" i="15"/>
  <c r="O475" i="15"/>
  <c r="A476" i="15"/>
  <c r="B476" i="15"/>
  <c r="C476" i="15"/>
  <c r="D476" i="15"/>
  <c r="E476" i="15"/>
  <c r="F476" i="15"/>
  <c r="G476" i="15"/>
  <c r="H476" i="15"/>
  <c r="I476" i="15"/>
  <c r="J476" i="15"/>
  <c r="K476" i="15"/>
  <c r="L476" i="15"/>
  <c r="M476" i="15"/>
  <c r="N476" i="15"/>
  <c r="O476" i="15"/>
  <c r="A477" i="15"/>
  <c r="B477" i="15"/>
  <c r="C477" i="15"/>
  <c r="D477" i="15"/>
  <c r="E477" i="15"/>
  <c r="F477" i="15"/>
  <c r="G477" i="15"/>
  <c r="H477" i="15"/>
  <c r="I477" i="15"/>
  <c r="J477" i="15"/>
  <c r="K477" i="15"/>
  <c r="L477" i="15"/>
  <c r="M477" i="15"/>
  <c r="N477" i="15"/>
  <c r="O477" i="15"/>
  <c r="A478" i="15"/>
  <c r="B478" i="15"/>
  <c r="C478" i="15"/>
  <c r="D478" i="15"/>
  <c r="E478" i="15"/>
  <c r="F478" i="15"/>
  <c r="G478" i="15"/>
  <c r="H478" i="15"/>
  <c r="I478" i="15"/>
  <c r="J478" i="15"/>
  <c r="K478" i="15"/>
  <c r="L478" i="15"/>
  <c r="M478" i="15"/>
  <c r="N478" i="15"/>
  <c r="O478" i="15"/>
  <c r="A479" i="15"/>
  <c r="B479" i="15"/>
  <c r="C479" i="15"/>
  <c r="D479" i="15"/>
  <c r="E479" i="15"/>
  <c r="F479" i="15"/>
  <c r="G479" i="15"/>
  <c r="H479" i="15"/>
  <c r="I479" i="15"/>
  <c r="J479" i="15"/>
  <c r="K479" i="15"/>
  <c r="L479" i="15"/>
  <c r="M479" i="15"/>
  <c r="N479" i="15"/>
  <c r="O479" i="15"/>
  <c r="A480" i="15"/>
  <c r="B480" i="15"/>
  <c r="C480" i="15"/>
  <c r="D480" i="15"/>
  <c r="E480" i="15"/>
  <c r="F480" i="15"/>
  <c r="G480" i="15"/>
  <c r="H480" i="15"/>
  <c r="I480" i="15"/>
  <c r="J480" i="15"/>
  <c r="K480" i="15"/>
  <c r="L480" i="15"/>
  <c r="M480" i="15"/>
  <c r="N480" i="15"/>
  <c r="O480" i="15"/>
  <c r="A481" i="15"/>
  <c r="B481" i="15"/>
  <c r="C481" i="15"/>
  <c r="D481" i="15"/>
  <c r="E481" i="15"/>
  <c r="F481" i="15"/>
  <c r="G481" i="15"/>
  <c r="H481" i="15"/>
  <c r="I481" i="15"/>
  <c r="J481" i="15"/>
  <c r="K481" i="15"/>
  <c r="L481" i="15"/>
  <c r="M481" i="15"/>
  <c r="N481" i="15"/>
  <c r="O481" i="15"/>
  <c r="A482" i="15"/>
  <c r="B482" i="15"/>
  <c r="C482" i="15"/>
  <c r="D482" i="15"/>
  <c r="E482" i="15"/>
  <c r="F482" i="15"/>
  <c r="G482" i="15"/>
  <c r="H482" i="15"/>
  <c r="I482" i="15"/>
  <c r="J482" i="15"/>
  <c r="K482" i="15"/>
  <c r="L482" i="15"/>
  <c r="M482" i="15"/>
  <c r="N482" i="15"/>
  <c r="O482" i="15"/>
  <c r="A483" i="15"/>
  <c r="B483" i="15"/>
  <c r="C483" i="15"/>
  <c r="D483" i="15"/>
  <c r="E483" i="15"/>
  <c r="F483" i="15"/>
  <c r="G483" i="15"/>
  <c r="H483" i="15"/>
  <c r="I483" i="15"/>
  <c r="J483" i="15"/>
  <c r="K483" i="15"/>
  <c r="L483" i="15"/>
  <c r="M483" i="15"/>
  <c r="N483" i="15"/>
  <c r="O483" i="15"/>
  <c r="A484" i="15"/>
  <c r="B484" i="15"/>
  <c r="C484" i="15"/>
  <c r="D484" i="15"/>
  <c r="E484" i="15"/>
  <c r="F484" i="15"/>
  <c r="G484" i="15"/>
  <c r="H484" i="15"/>
  <c r="I484" i="15"/>
  <c r="J484" i="15"/>
  <c r="K484" i="15"/>
  <c r="L484" i="15"/>
  <c r="M484" i="15"/>
  <c r="N484" i="15"/>
  <c r="O484" i="15"/>
  <c r="A485" i="15"/>
  <c r="B485" i="15"/>
  <c r="C485" i="15"/>
  <c r="D485" i="15"/>
  <c r="E485" i="15"/>
  <c r="F485" i="15"/>
  <c r="G485" i="15"/>
  <c r="H485" i="15"/>
  <c r="I485" i="15"/>
  <c r="J485" i="15"/>
  <c r="K485" i="15"/>
  <c r="L485" i="15"/>
  <c r="M485" i="15"/>
  <c r="N485" i="15"/>
  <c r="O485" i="15"/>
  <c r="A486" i="15"/>
  <c r="B486" i="15"/>
  <c r="C486" i="15"/>
  <c r="D486" i="15"/>
  <c r="E486" i="15"/>
  <c r="F486" i="15"/>
  <c r="G486" i="15"/>
  <c r="H486" i="15"/>
  <c r="I486" i="15"/>
  <c r="J486" i="15"/>
  <c r="K486" i="15"/>
  <c r="L486" i="15"/>
  <c r="M486" i="15"/>
  <c r="N486" i="15"/>
  <c r="O486" i="15"/>
  <c r="A487" i="15"/>
  <c r="B487" i="15"/>
  <c r="C487" i="15"/>
  <c r="D487" i="15"/>
  <c r="E487" i="15"/>
  <c r="F487" i="15"/>
  <c r="G487" i="15"/>
  <c r="H487" i="15"/>
  <c r="I487" i="15"/>
  <c r="J487" i="15"/>
  <c r="K487" i="15"/>
  <c r="L487" i="15"/>
  <c r="M487" i="15"/>
  <c r="N487" i="15"/>
  <c r="O487" i="15"/>
  <c r="A488" i="15"/>
  <c r="B488" i="15"/>
  <c r="C488" i="15"/>
  <c r="D488" i="15"/>
  <c r="E488" i="15"/>
  <c r="F488" i="15"/>
  <c r="G488" i="15"/>
  <c r="H488" i="15"/>
  <c r="I488" i="15"/>
  <c r="J488" i="15"/>
  <c r="K488" i="15"/>
  <c r="L488" i="15"/>
  <c r="M488" i="15"/>
  <c r="N488" i="15"/>
  <c r="O488" i="15"/>
  <c r="A489" i="15"/>
  <c r="B489" i="15"/>
  <c r="C489" i="15"/>
  <c r="D489" i="15"/>
  <c r="E489" i="15"/>
  <c r="F489" i="15"/>
  <c r="G489" i="15"/>
  <c r="H489" i="15"/>
  <c r="I489" i="15"/>
  <c r="J489" i="15"/>
  <c r="K489" i="15"/>
  <c r="L489" i="15"/>
  <c r="M489" i="15"/>
  <c r="N489" i="15"/>
  <c r="O489" i="15"/>
  <c r="A490" i="15"/>
  <c r="B490" i="15"/>
  <c r="C490" i="15"/>
  <c r="D490" i="15"/>
  <c r="E490" i="15"/>
  <c r="F490" i="15"/>
  <c r="G490" i="15"/>
  <c r="H490" i="15"/>
  <c r="I490" i="15"/>
  <c r="J490" i="15"/>
  <c r="K490" i="15"/>
  <c r="L490" i="15"/>
  <c r="M490" i="15"/>
  <c r="N490" i="15"/>
  <c r="O490" i="15"/>
  <c r="A491" i="15"/>
  <c r="B491" i="15"/>
  <c r="C491" i="15"/>
  <c r="D491" i="15"/>
  <c r="E491" i="15"/>
  <c r="F491" i="15"/>
  <c r="G491" i="15"/>
  <c r="H491" i="15"/>
  <c r="I491" i="15"/>
  <c r="J491" i="15"/>
  <c r="K491" i="15"/>
  <c r="L491" i="15"/>
  <c r="M491" i="15"/>
  <c r="N491" i="15"/>
  <c r="O491" i="15"/>
  <c r="A492" i="15"/>
  <c r="B492" i="15"/>
  <c r="C492" i="15"/>
  <c r="D492" i="15"/>
  <c r="E492" i="15"/>
  <c r="F492" i="15"/>
  <c r="G492" i="15"/>
  <c r="H492" i="15"/>
  <c r="I492" i="15"/>
  <c r="J492" i="15"/>
  <c r="K492" i="15"/>
  <c r="L492" i="15"/>
  <c r="M492" i="15"/>
  <c r="N492" i="15"/>
  <c r="O492" i="15"/>
  <c r="A493" i="15"/>
  <c r="B493" i="15"/>
  <c r="C493" i="15"/>
  <c r="D493" i="15"/>
  <c r="E493" i="15"/>
  <c r="F493" i="15"/>
  <c r="G493" i="15"/>
  <c r="H493" i="15"/>
  <c r="I493" i="15"/>
  <c r="J493" i="15"/>
  <c r="K493" i="15"/>
  <c r="L493" i="15"/>
  <c r="M493" i="15"/>
  <c r="N493" i="15"/>
  <c r="O493" i="15"/>
  <c r="A494" i="15"/>
  <c r="B494" i="15"/>
  <c r="C494" i="15"/>
  <c r="D494" i="15"/>
  <c r="E494" i="15"/>
  <c r="F494" i="15"/>
  <c r="G494" i="15"/>
  <c r="H494" i="15"/>
  <c r="I494" i="15"/>
  <c r="J494" i="15"/>
  <c r="K494" i="15"/>
  <c r="L494" i="15"/>
  <c r="M494" i="15"/>
  <c r="N494" i="15"/>
  <c r="O494" i="15"/>
  <c r="A495" i="15"/>
  <c r="B495" i="15"/>
  <c r="C495" i="15"/>
  <c r="D495" i="15"/>
  <c r="E495" i="15"/>
  <c r="F495" i="15"/>
  <c r="G495" i="15"/>
  <c r="H495" i="15"/>
  <c r="I495" i="15"/>
  <c r="J495" i="15"/>
  <c r="K495" i="15"/>
  <c r="L495" i="15"/>
  <c r="M495" i="15"/>
  <c r="N495" i="15"/>
  <c r="O495" i="15"/>
  <c r="A496" i="15"/>
  <c r="B496" i="15"/>
  <c r="C496" i="15"/>
  <c r="D496" i="15"/>
  <c r="E496" i="15"/>
  <c r="F496" i="15"/>
  <c r="G496" i="15"/>
  <c r="H496" i="15"/>
  <c r="I496" i="15"/>
  <c r="J496" i="15"/>
  <c r="K496" i="15"/>
  <c r="L496" i="15"/>
  <c r="M496" i="15"/>
  <c r="N496" i="15"/>
  <c r="O496" i="15"/>
  <c r="A497" i="15"/>
  <c r="B497" i="15"/>
  <c r="C497" i="15"/>
  <c r="D497" i="15"/>
  <c r="E497" i="15"/>
  <c r="F497" i="15"/>
  <c r="G497" i="15"/>
  <c r="H497" i="15"/>
  <c r="I497" i="15"/>
  <c r="J497" i="15"/>
  <c r="K497" i="15"/>
  <c r="L497" i="15"/>
  <c r="M497" i="15"/>
  <c r="N497" i="15"/>
  <c r="O497" i="15"/>
  <c r="A498" i="15"/>
  <c r="B498" i="15"/>
  <c r="C498" i="15"/>
  <c r="D498" i="15"/>
  <c r="E498" i="15"/>
  <c r="F498" i="15"/>
  <c r="G498" i="15"/>
  <c r="H498" i="15"/>
  <c r="I498" i="15"/>
  <c r="J498" i="15"/>
  <c r="K498" i="15"/>
  <c r="L498" i="15"/>
  <c r="M498" i="15"/>
  <c r="N498" i="15"/>
  <c r="O498" i="15"/>
  <c r="A499" i="15"/>
  <c r="B499" i="15"/>
  <c r="C499" i="15"/>
  <c r="D499" i="15"/>
  <c r="E499" i="15"/>
  <c r="F499" i="15"/>
  <c r="G499" i="15"/>
  <c r="H499" i="15"/>
  <c r="I499" i="15"/>
  <c r="J499" i="15"/>
  <c r="K499" i="15"/>
  <c r="L499" i="15"/>
  <c r="M499" i="15"/>
  <c r="N499" i="15"/>
  <c r="O499" i="15"/>
  <c r="A500" i="15"/>
  <c r="B500" i="15"/>
  <c r="C500" i="15"/>
  <c r="D500" i="15"/>
  <c r="E500" i="15"/>
  <c r="F500" i="15"/>
  <c r="G500" i="15"/>
  <c r="H500" i="15"/>
  <c r="I500" i="15"/>
  <c r="J500" i="15"/>
  <c r="K500" i="15"/>
  <c r="L500" i="15"/>
  <c r="M500" i="15"/>
  <c r="N500" i="15"/>
  <c r="O500" i="15"/>
  <c r="A501" i="15"/>
  <c r="B501" i="15"/>
  <c r="C501" i="15"/>
  <c r="D501" i="15"/>
  <c r="E501" i="15"/>
  <c r="F501" i="15"/>
  <c r="G501" i="15"/>
  <c r="H501" i="15"/>
  <c r="I501" i="15"/>
  <c r="J501" i="15"/>
  <c r="K501" i="15"/>
  <c r="L501" i="15"/>
  <c r="M501" i="15"/>
  <c r="N501" i="15"/>
  <c r="O501" i="15"/>
  <c r="A502" i="15"/>
  <c r="B502" i="15"/>
  <c r="C502" i="15"/>
  <c r="D502" i="15"/>
  <c r="E502" i="15"/>
  <c r="F502" i="15"/>
  <c r="G502" i="15"/>
  <c r="H502" i="15"/>
  <c r="I502" i="15"/>
  <c r="J502" i="15"/>
  <c r="K502" i="15"/>
  <c r="L502" i="15"/>
  <c r="M502" i="15"/>
  <c r="N502" i="15"/>
  <c r="O502" i="15"/>
  <c r="A503" i="15"/>
  <c r="B503" i="15"/>
  <c r="C503" i="15"/>
  <c r="D503" i="15"/>
  <c r="E503" i="15"/>
  <c r="F503" i="15"/>
  <c r="G503" i="15"/>
  <c r="H503" i="15"/>
  <c r="I503" i="15"/>
  <c r="J503" i="15"/>
  <c r="K503" i="15"/>
  <c r="L503" i="15"/>
  <c r="M503" i="15"/>
  <c r="N503" i="15"/>
  <c r="O503" i="15"/>
  <c r="A504" i="15"/>
  <c r="B504" i="15"/>
  <c r="C504" i="15"/>
  <c r="D504" i="15"/>
  <c r="E504" i="15"/>
  <c r="F504" i="15"/>
  <c r="G504" i="15"/>
  <c r="H504" i="15"/>
  <c r="I504" i="15"/>
  <c r="J504" i="15"/>
  <c r="K504" i="15"/>
  <c r="L504" i="15"/>
  <c r="M504" i="15"/>
  <c r="N504" i="15"/>
  <c r="O504" i="15"/>
  <c r="A505" i="15"/>
  <c r="B505" i="15"/>
  <c r="C505" i="15"/>
  <c r="D505" i="15"/>
  <c r="E505" i="15"/>
  <c r="F505" i="15"/>
  <c r="G505" i="15"/>
  <c r="H505" i="15"/>
  <c r="I505" i="15"/>
  <c r="J505" i="15"/>
  <c r="K505" i="15"/>
  <c r="L505" i="15"/>
  <c r="M505" i="15"/>
  <c r="N505" i="15"/>
  <c r="O505" i="15"/>
  <c r="A506" i="15"/>
  <c r="B506" i="15"/>
  <c r="C506" i="15"/>
  <c r="D506" i="15"/>
  <c r="E506" i="15"/>
  <c r="F506" i="15"/>
  <c r="G506" i="15"/>
  <c r="H506" i="15"/>
  <c r="I506" i="15"/>
  <c r="J506" i="15"/>
  <c r="K506" i="15"/>
  <c r="L506" i="15"/>
  <c r="M506" i="15"/>
  <c r="N506" i="15"/>
  <c r="O506" i="15"/>
  <c r="A507" i="15"/>
  <c r="B507" i="15"/>
  <c r="C507" i="15"/>
  <c r="D507" i="15"/>
  <c r="E507" i="15"/>
  <c r="F507" i="15"/>
  <c r="G507" i="15"/>
  <c r="H507" i="15"/>
  <c r="I507" i="15"/>
  <c r="J507" i="15"/>
  <c r="K507" i="15"/>
  <c r="L507" i="15"/>
  <c r="M507" i="15"/>
  <c r="N507" i="15"/>
  <c r="O507" i="15"/>
  <c r="A508" i="15"/>
  <c r="B508" i="15"/>
  <c r="C508" i="15"/>
  <c r="D508" i="15"/>
  <c r="E508" i="15"/>
  <c r="F508" i="15"/>
  <c r="G508" i="15"/>
  <c r="H508" i="15"/>
  <c r="I508" i="15"/>
  <c r="J508" i="15"/>
  <c r="K508" i="15"/>
  <c r="L508" i="15"/>
  <c r="M508" i="15"/>
  <c r="N508" i="15"/>
  <c r="O508" i="15"/>
  <c r="A509" i="15"/>
  <c r="B509" i="15"/>
  <c r="C509" i="15"/>
  <c r="D509" i="15"/>
  <c r="E509" i="15"/>
  <c r="F509" i="15"/>
  <c r="G509" i="15"/>
  <c r="H509" i="15"/>
  <c r="I509" i="15"/>
  <c r="J509" i="15"/>
  <c r="K509" i="15"/>
  <c r="L509" i="15"/>
  <c r="M509" i="15"/>
  <c r="N509" i="15"/>
  <c r="O509" i="15"/>
  <c r="A510" i="15"/>
  <c r="B510" i="15"/>
  <c r="C510" i="15"/>
  <c r="D510" i="15"/>
  <c r="E510" i="15"/>
  <c r="F510" i="15"/>
  <c r="G510" i="15"/>
  <c r="H510" i="15"/>
  <c r="I510" i="15"/>
  <c r="J510" i="15"/>
  <c r="K510" i="15"/>
  <c r="L510" i="15"/>
  <c r="M510" i="15"/>
  <c r="N510" i="15"/>
  <c r="O510" i="15"/>
  <c r="A511" i="15"/>
  <c r="B511" i="15"/>
  <c r="C511" i="15"/>
  <c r="D511" i="15"/>
  <c r="E511" i="15"/>
  <c r="F511" i="15"/>
  <c r="G511" i="15"/>
  <c r="H511" i="15"/>
  <c r="I511" i="15"/>
  <c r="J511" i="15"/>
  <c r="K511" i="15"/>
  <c r="L511" i="15"/>
  <c r="M511" i="15"/>
  <c r="N511" i="15"/>
  <c r="O511" i="15"/>
  <c r="A512" i="15"/>
  <c r="B512" i="15"/>
  <c r="C512" i="15"/>
  <c r="D512" i="15"/>
  <c r="E512" i="15"/>
  <c r="F512" i="15"/>
  <c r="G512" i="15"/>
  <c r="H512" i="15"/>
  <c r="I512" i="15"/>
  <c r="J512" i="15"/>
  <c r="K512" i="15"/>
  <c r="L512" i="15"/>
  <c r="M512" i="15"/>
  <c r="N512" i="15"/>
  <c r="O512" i="15"/>
  <c r="A513" i="15"/>
  <c r="B513" i="15"/>
  <c r="C513" i="15"/>
  <c r="D513" i="15"/>
  <c r="E513" i="15"/>
  <c r="F513" i="15"/>
  <c r="G513" i="15"/>
  <c r="H513" i="15"/>
  <c r="I513" i="15"/>
  <c r="J513" i="15"/>
  <c r="K513" i="15"/>
  <c r="L513" i="15"/>
  <c r="M513" i="15"/>
  <c r="N513" i="15"/>
  <c r="O513" i="15"/>
  <c r="A514" i="15"/>
  <c r="B514" i="15"/>
  <c r="C514" i="15"/>
  <c r="D514" i="15"/>
  <c r="E514" i="15"/>
  <c r="F514" i="15"/>
  <c r="G514" i="15"/>
  <c r="H514" i="15"/>
  <c r="I514" i="15"/>
  <c r="J514" i="15"/>
  <c r="K514" i="15"/>
  <c r="L514" i="15"/>
  <c r="M514" i="15"/>
  <c r="N514" i="15"/>
  <c r="O514" i="15"/>
  <c r="A515" i="15"/>
  <c r="B515" i="15"/>
  <c r="C515" i="15"/>
  <c r="D515" i="15"/>
  <c r="E515" i="15"/>
  <c r="F515" i="15"/>
  <c r="G515" i="15"/>
  <c r="H515" i="15"/>
  <c r="I515" i="15"/>
  <c r="J515" i="15"/>
  <c r="K515" i="15"/>
  <c r="L515" i="15"/>
  <c r="M515" i="15"/>
  <c r="N515" i="15"/>
  <c r="O515" i="15"/>
  <c r="A516" i="15"/>
  <c r="B516" i="15"/>
  <c r="C516" i="15"/>
  <c r="D516" i="15"/>
  <c r="E516" i="15"/>
  <c r="F516" i="15"/>
  <c r="G516" i="15"/>
  <c r="H516" i="15"/>
  <c r="I516" i="15"/>
  <c r="J516" i="15"/>
  <c r="K516" i="15"/>
  <c r="L516" i="15"/>
  <c r="M516" i="15"/>
  <c r="N516" i="15"/>
  <c r="O516" i="15"/>
  <c r="A517" i="15"/>
  <c r="B517" i="15"/>
  <c r="C517" i="15"/>
  <c r="D517" i="15"/>
  <c r="E517" i="15"/>
  <c r="F517" i="15"/>
  <c r="G517" i="15"/>
  <c r="H517" i="15"/>
  <c r="I517" i="15"/>
  <c r="J517" i="15"/>
  <c r="K517" i="15"/>
  <c r="L517" i="15"/>
  <c r="M517" i="15"/>
  <c r="N517" i="15"/>
  <c r="O517" i="15"/>
  <c r="A518" i="15"/>
  <c r="B518" i="15"/>
  <c r="C518" i="15"/>
  <c r="D518" i="15"/>
  <c r="E518" i="15"/>
  <c r="F518" i="15"/>
  <c r="G518" i="15"/>
  <c r="H518" i="15"/>
  <c r="I518" i="15"/>
  <c r="J518" i="15"/>
  <c r="K518" i="15"/>
  <c r="L518" i="15"/>
  <c r="M518" i="15"/>
  <c r="N518" i="15"/>
  <c r="O518" i="15"/>
  <c r="A519" i="15"/>
  <c r="B519" i="15"/>
  <c r="C519" i="15"/>
  <c r="D519" i="15"/>
  <c r="E519" i="15"/>
  <c r="F519" i="15"/>
  <c r="G519" i="15"/>
  <c r="H519" i="15"/>
  <c r="I519" i="15"/>
  <c r="J519" i="15"/>
  <c r="K519" i="15"/>
  <c r="L519" i="15"/>
  <c r="M519" i="15"/>
  <c r="N519" i="15"/>
  <c r="O519" i="15"/>
  <c r="A520" i="15"/>
  <c r="B520" i="15"/>
  <c r="C520" i="15"/>
  <c r="D520" i="15"/>
  <c r="E520" i="15"/>
  <c r="F520" i="15"/>
  <c r="G520" i="15"/>
  <c r="H520" i="15"/>
  <c r="I520" i="15"/>
  <c r="J520" i="15"/>
  <c r="K520" i="15"/>
  <c r="L520" i="15"/>
  <c r="M520" i="15"/>
  <c r="N520" i="15"/>
  <c r="O520" i="15"/>
  <c r="A521" i="15"/>
  <c r="B521" i="15"/>
  <c r="C521" i="15"/>
  <c r="D521" i="15"/>
  <c r="E521" i="15"/>
  <c r="F521" i="15"/>
  <c r="G521" i="15"/>
  <c r="H521" i="15"/>
  <c r="I521" i="15"/>
  <c r="J521" i="15"/>
  <c r="K521" i="15"/>
  <c r="L521" i="15"/>
  <c r="M521" i="15"/>
  <c r="N521" i="15"/>
  <c r="O521" i="15"/>
  <c r="A522" i="15"/>
  <c r="B522" i="15"/>
  <c r="C522" i="15"/>
  <c r="D522" i="15"/>
  <c r="E522" i="15"/>
  <c r="F522" i="15"/>
  <c r="G522" i="15"/>
  <c r="H522" i="15"/>
  <c r="I522" i="15"/>
  <c r="J522" i="15"/>
  <c r="K522" i="15"/>
  <c r="L522" i="15"/>
  <c r="M522" i="15"/>
  <c r="N522" i="15"/>
  <c r="O522" i="15"/>
  <c r="A523" i="15"/>
  <c r="B523" i="15"/>
  <c r="C523" i="15"/>
  <c r="D523" i="15"/>
  <c r="E523" i="15"/>
  <c r="F523" i="15"/>
  <c r="G523" i="15"/>
  <c r="H523" i="15"/>
  <c r="I523" i="15"/>
  <c r="J523" i="15"/>
  <c r="K523" i="15"/>
  <c r="L523" i="15"/>
  <c r="M523" i="15"/>
  <c r="N523" i="15"/>
  <c r="O523" i="15"/>
  <c r="A524" i="15"/>
  <c r="B524" i="15"/>
  <c r="C524" i="15"/>
  <c r="D524" i="15"/>
  <c r="E524" i="15"/>
  <c r="F524" i="15"/>
  <c r="G524" i="15"/>
  <c r="H524" i="15"/>
  <c r="I524" i="15"/>
  <c r="J524" i="15"/>
  <c r="K524" i="15"/>
  <c r="L524" i="15"/>
  <c r="M524" i="15"/>
  <c r="N524" i="15"/>
  <c r="O524" i="15"/>
  <c r="A525" i="15"/>
  <c r="B525" i="15"/>
  <c r="C525" i="15"/>
  <c r="D525" i="15"/>
  <c r="E525" i="15"/>
  <c r="F525" i="15"/>
  <c r="G525" i="15"/>
  <c r="H525" i="15"/>
  <c r="I525" i="15"/>
  <c r="J525" i="15"/>
  <c r="K525" i="15"/>
  <c r="L525" i="15"/>
  <c r="M525" i="15"/>
  <c r="N525" i="15"/>
  <c r="O525" i="15"/>
  <c r="A526" i="15"/>
  <c r="B526" i="15"/>
  <c r="C526" i="15"/>
  <c r="D526" i="15"/>
  <c r="E526" i="15"/>
  <c r="F526" i="15"/>
  <c r="G526" i="15"/>
  <c r="H526" i="15"/>
  <c r="I526" i="15"/>
  <c r="J526" i="15"/>
  <c r="K526" i="15"/>
  <c r="L526" i="15"/>
  <c r="M526" i="15"/>
  <c r="N526" i="15"/>
  <c r="O526" i="15"/>
  <c r="A527" i="15"/>
  <c r="B527" i="15"/>
  <c r="C527" i="15"/>
  <c r="D527" i="15"/>
  <c r="E527" i="15"/>
  <c r="F527" i="15"/>
  <c r="G527" i="15"/>
  <c r="H527" i="15"/>
  <c r="I527" i="15"/>
  <c r="J527" i="15"/>
  <c r="K527" i="15"/>
  <c r="L527" i="15"/>
  <c r="M527" i="15"/>
  <c r="N527" i="15"/>
  <c r="O527" i="15"/>
  <c r="A528" i="15"/>
  <c r="B528" i="15"/>
  <c r="C528" i="15"/>
  <c r="D528" i="15"/>
  <c r="E528" i="15"/>
  <c r="F528" i="15"/>
  <c r="G528" i="15"/>
  <c r="H528" i="15"/>
  <c r="I528" i="15"/>
  <c r="J528" i="15"/>
  <c r="K528" i="15"/>
  <c r="L528" i="15"/>
  <c r="M528" i="15"/>
  <c r="N528" i="15"/>
  <c r="O528" i="15"/>
  <c r="A529" i="15"/>
  <c r="B529" i="15"/>
  <c r="C529" i="15"/>
  <c r="D529" i="15"/>
  <c r="E529" i="15"/>
  <c r="F529" i="15"/>
  <c r="G529" i="15"/>
  <c r="H529" i="15"/>
  <c r="I529" i="15"/>
  <c r="J529" i="15"/>
  <c r="K529" i="15"/>
  <c r="L529" i="15"/>
  <c r="M529" i="15"/>
  <c r="N529" i="15"/>
  <c r="O529" i="15"/>
  <c r="A530" i="15"/>
  <c r="B530" i="15"/>
  <c r="C530" i="15"/>
  <c r="D530" i="15"/>
  <c r="E530" i="15"/>
  <c r="F530" i="15"/>
  <c r="G530" i="15"/>
  <c r="H530" i="15"/>
  <c r="I530" i="15"/>
  <c r="J530" i="15"/>
  <c r="K530" i="15"/>
  <c r="L530" i="15"/>
  <c r="M530" i="15"/>
  <c r="N530" i="15"/>
  <c r="O530" i="15"/>
  <c r="A531" i="15"/>
  <c r="B531" i="15"/>
  <c r="C531" i="15"/>
  <c r="D531" i="15"/>
  <c r="E531" i="15"/>
  <c r="F531" i="15"/>
  <c r="G531" i="15"/>
  <c r="H531" i="15"/>
  <c r="I531" i="15"/>
  <c r="J531" i="15"/>
  <c r="K531" i="15"/>
  <c r="L531" i="15"/>
  <c r="M531" i="15"/>
  <c r="N531" i="15"/>
  <c r="O531" i="15"/>
  <c r="A532" i="15"/>
  <c r="B532" i="15"/>
  <c r="C532" i="15"/>
  <c r="D532" i="15"/>
  <c r="E532" i="15"/>
  <c r="F532" i="15"/>
  <c r="G532" i="15"/>
  <c r="H532" i="15"/>
  <c r="I532" i="15"/>
  <c r="J532" i="15"/>
  <c r="K532" i="15"/>
  <c r="L532" i="15"/>
  <c r="M532" i="15"/>
  <c r="N532" i="15"/>
  <c r="O532" i="15"/>
  <c r="A533" i="15"/>
  <c r="B533" i="15"/>
  <c r="C533" i="15"/>
  <c r="D533" i="15"/>
  <c r="E533" i="15"/>
  <c r="F533" i="15"/>
  <c r="G533" i="15"/>
  <c r="H533" i="15"/>
  <c r="I533" i="15"/>
  <c r="J533" i="15"/>
  <c r="K533" i="15"/>
  <c r="L533" i="15"/>
  <c r="M533" i="15"/>
  <c r="N533" i="15"/>
  <c r="O533" i="15"/>
  <c r="A534" i="15"/>
  <c r="B534" i="15"/>
  <c r="C534" i="15"/>
  <c r="D534" i="15"/>
  <c r="E534" i="15"/>
  <c r="F534" i="15"/>
  <c r="G534" i="15"/>
  <c r="H534" i="15"/>
  <c r="I534" i="15"/>
  <c r="J534" i="15"/>
  <c r="K534" i="15"/>
  <c r="L534" i="15"/>
  <c r="M534" i="15"/>
  <c r="N534" i="15"/>
  <c r="O534" i="15"/>
  <c r="A535" i="15"/>
  <c r="B535" i="15"/>
  <c r="C535" i="15"/>
  <c r="D535" i="15"/>
  <c r="E535" i="15"/>
  <c r="F535" i="15"/>
  <c r="G535" i="15"/>
  <c r="H535" i="15"/>
  <c r="I535" i="15"/>
  <c r="J535" i="15"/>
  <c r="K535" i="15"/>
  <c r="L535" i="15"/>
  <c r="M535" i="15"/>
  <c r="N535" i="15"/>
  <c r="O535" i="15"/>
  <c r="A536" i="15"/>
  <c r="B536" i="15"/>
  <c r="C536" i="15"/>
  <c r="D536" i="15"/>
  <c r="E536" i="15"/>
  <c r="F536" i="15"/>
  <c r="G536" i="15"/>
  <c r="H536" i="15"/>
  <c r="I536" i="15"/>
  <c r="J536" i="15"/>
  <c r="K536" i="15"/>
  <c r="L536" i="15"/>
  <c r="M536" i="15"/>
  <c r="N536" i="15"/>
  <c r="O536" i="15"/>
  <c r="A537" i="15"/>
  <c r="B537" i="15"/>
  <c r="C537" i="15"/>
  <c r="D537" i="15"/>
  <c r="E537" i="15"/>
  <c r="F537" i="15"/>
  <c r="G537" i="15"/>
  <c r="H537" i="15"/>
  <c r="I537" i="15"/>
  <c r="J537" i="15"/>
  <c r="K537" i="15"/>
  <c r="L537" i="15"/>
  <c r="M537" i="15"/>
  <c r="N537" i="15"/>
  <c r="O537" i="15"/>
  <c r="A538" i="15"/>
  <c r="B538" i="15"/>
  <c r="C538" i="15"/>
  <c r="D538" i="15"/>
  <c r="E538" i="15"/>
  <c r="F538" i="15"/>
  <c r="G538" i="15"/>
  <c r="H538" i="15"/>
  <c r="I538" i="15"/>
  <c r="J538" i="15"/>
  <c r="K538" i="15"/>
  <c r="L538" i="15"/>
  <c r="M538" i="15"/>
  <c r="N538" i="15"/>
  <c r="O538" i="15"/>
  <c r="A539" i="15"/>
  <c r="B539" i="15"/>
  <c r="C539" i="15"/>
  <c r="D539" i="15"/>
  <c r="E539" i="15"/>
  <c r="F539" i="15"/>
  <c r="G539" i="15"/>
  <c r="H539" i="15"/>
  <c r="I539" i="15"/>
  <c r="J539" i="15"/>
  <c r="K539" i="15"/>
  <c r="L539" i="15"/>
  <c r="M539" i="15"/>
  <c r="N539" i="15"/>
  <c r="O539" i="15"/>
  <c r="A540" i="15"/>
  <c r="B540" i="15"/>
  <c r="C540" i="15"/>
  <c r="D540" i="15"/>
  <c r="E540" i="15"/>
  <c r="F540" i="15"/>
  <c r="G540" i="15"/>
  <c r="H540" i="15"/>
  <c r="I540" i="15"/>
  <c r="J540" i="15"/>
  <c r="K540" i="15"/>
  <c r="L540" i="15"/>
  <c r="M540" i="15"/>
  <c r="N540" i="15"/>
  <c r="O540" i="15"/>
  <c r="A541" i="15"/>
  <c r="B541" i="15"/>
  <c r="C541" i="15"/>
  <c r="D541" i="15"/>
  <c r="E541" i="15"/>
  <c r="F541" i="15"/>
  <c r="G541" i="15"/>
  <c r="H541" i="15"/>
  <c r="I541" i="15"/>
  <c r="J541" i="15"/>
  <c r="K541" i="15"/>
  <c r="L541" i="15"/>
  <c r="M541" i="15"/>
  <c r="N541" i="15"/>
  <c r="O541" i="15"/>
  <c r="A542" i="15"/>
  <c r="B542" i="15"/>
  <c r="C542" i="15"/>
  <c r="D542" i="15"/>
  <c r="E542" i="15"/>
  <c r="F542" i="15"/>
  <c r="G542" i="15"/>
  <c r="H542" i="15"/>
  <c r="I542" i="15"/>
  <c r="J542" i="15"/>
  <c r="K542" i="15"/>
  <c r="L542" i="15"/>
  <c r="M542" i="15"/>
  <c r="N542" i="15"/>
  <c r="O542" i="15"/>
  <c r="A543" i="15"/>
  <c r="B543" i="15"/>
  <c r="C543" i="15"/>
  <c r="D543" i="15"/>
  <c r="E543" i="15"/>
  <c r="F543" i="15"/>
  <c r="G543" i="15"/>
  <c r="H543" i="15"/>
  <c r="I543" i="15"/>
  <c r="J543" i="15"/>
  <c r="K543" i="15"/>
  <c r="L543" i="15"/>
  <c r="M543" i="15"/>
  <c r="N543" i="15"/>
  <c r="O543" i="15"/>
  <c r="A544" i="15"/>
  <c r="B544" i="15"/>
  <c r="C544" i="15"/>
  <c r="D544" i="15"/>
  <c r="E544" i="15"/>
  <c r="F544" i="15"/>
  <c r="G544" i="15"/>
  <c r="H544" i="15"/>
  <c r="I544" i="15"/>
  <c r="J544" i="15"/>
  <c r="K544" i="15"/>
  <c r="L544" i="15"/>
  <c r="M544" i="15"/>
  <c r="N544" i="15"/>
  <c r="O544" i="15"/>
  <c r="A545" i="15"/>
  <c r="B545" i="15"/>
  <c r="C545" i="15"/>
  <c r="D545" i="15"/>
  <c r="E545" i="15"/>
  <c r="F545" i="15"/>
  <c r="G545" i="15"/>
  <c r="H545" i="15"/>
  <c r="I545" i="15"/>
  <c r="J545" i="15"/>
  <c r="K545" i="15"/>
  <c r="L545" i="15"/>
  <c r="M545" i="15"/>
  <c r="N545" i="15"/>
  <c r="O545" i="15"/>
  <c r="A546" i="15"/>
  <c r="B546" i="15"/>
  <c r="C546" i="15"/>
  <c r="D546" i="15"/>
  <c r="E546" i="15"/>
  <c r="F546" i="15"/>
  <c r="G546" i="15"/>
  <c r="H546" i="15"/>
  <c r="I546" i="15"/>
  <c r="J546" i="15"/>
  <c r="K546" i="15"/>
  <c r="L546" i="15"/>
  <c r="M546" i="15"/>
  <c r="N546" i="15"/>
  <c r="O546" i="15"/>
  <c r="A547" i="15"/>
  <c r="B547" i="15"/>
  <c r="C547" i="15"/>
  <c r="D547" i="15"/>
  <c r="E547" i="15"/>
  <c r="F547" i="15"/>
  <c r="G547" i="15"/>
  <c r="H547" i="15"/>
  <c r="I547" i="15"/>
  <c r="J547" i="15"/>
  <c r="K547" i="15"/>
  <c r="L547" i="15"/>
  <c r="M547" i="15"/>
  <c r="N547" i="15"/>
  <c r="O547" i="15"/>
  <c r="A548" i="15"/>
  <c r="B548" i="15"/>
  <c r="C548" i="15"/>
  <c r="D548" i="15"/>
  <c r="E548" i="15"/>
  <c r="F548" i="15"/>
  <c r="G548" i="15"/>
  <c r="H548" i="15"/>
  <c r="I548" i="15"/>
  <c r="J548" i="15"/>
  <c r="K548" i="15"/>
  <c r="L548" i="15"/>
  <c r="M548" i="15"/>
  <c r="N548" i="15"/>
  <c r="O548" i="15"/>
  <c r="A549" i="15"/>
  <c r="B549" i="15"/>
  <c r="C549" i="15"/>
  <c r="D549" i="15"/>
  <c r="E549" i="15"/>
  <c r="F549" i="15"/>
  <c r="G549" i="15"/>
  <c r="H549" i="15"/>
  <c r="I549" i="15"/>
  <c r="J549" i="15"/>
  <c r="K549" i="15"/>
  <c r="L549" i="15"/>
  <c r="M549" i="15"/>
  <c r="N549" i="15"/>
  <c r="O549" i="15"/>
  <c r="A550" i="15"/>
  <c r="B550" i="15"/>
  <c r="C550" i="15"/>
  <c r="D550" i="15"/>
  <c r="E550" i="15"/>
  <c r="F550" i="15"/>
  <c r="G550" i="15"/>
  <c r="H550" i="15"/>
  <c r="I550" i="15"/>
  <c r="J550" i="15"/>
  <c r="K550" i="15"/>
  <c r="L550" i="15"/>
  <c r="M550" i="15"/>
  <c r="N550" i="15"/>
  <c r="O550" i="15"/>
  <c r="A551" i="15"/>
  <c r="B551" i="15"/>
  <c r="C551" i="15"/>
  <c r="D551" i="15"/>
  <c r="E551" i="15"/>
  <c r="F551" i="15"/>
  <c r="G551" i="15"/>
  <c r="H551" i="15"/>
  <c r="I551" i="15"/>
  <c r="J551" i="15"/>
  <c r="K551" i="15"/>
  <c r="L551" i="15"/>
  <c r="M551" i="15"/>
  <c r="N551" i="15"/>
  <c r="O551" i="15"/>
  <c r="A552" i="15"/>
  <c r="B552" i="15"/>
  <c r="C552" i="15"/>
  <c r="D552" i="15"/>
  <c r="E552" i="15"/>
  <c r="F552" i="15"/>
  <c r="G552" i="15"/>
  <c r="H552" i="15"/>
  <c r="I552" i="15"/>
  <c r="J552" i="15"/>
  <c r="K552" i="15"/>
  <c r="L552" i="15"/>
  <c r="M552" i="15"/>
  <c r="N552" i="15"/>
  <c r="O552" i="15"/>
  <c r="A553" i="15"/>
  <c r="B553" i="15"/>
  <c r="C553" i="15"/>
  <c r="D553" i="15"/>
  <c r="E553" i="15"/>
  <c r="F553" i="15"/>
  <c r="G553" i="15"/>
  <c r="H553" i="15"/>
  <c r="I553" i="15"/>
  <c r="J553" i="15"/>
  <c r="K553" i="15"/>
  <c r="L553" i="15"/>
  <c r="M553" i="15"/>
  <c r="N553" i="15"/>
  <c r="O553" i="15"/>
  <c r="A554" i="15"/>
  <c r="B554" i="15"/>
  <c r="C554" i="15"/>
  <c r="D554" i="15"/>
  <c r="E554" i="15"/>
  <c r="F554" i="15"/>
  <c r="G554" i="15"/>
  <c r="H554" i="15"/>
  <c r="I554" i="15"/>
  <c r="J554" i="15"/>
  <c r="K554" i="15"/>
  <c r="L554" i="15"/>
  <c r="M554" i="15"/>
  <c r="N554" i="15"/>
  <c r="O554" i="15"/>
  <c r="A555" i="15"/>
  <c r="B555" i="15"/>
  <c r="C555" i="15"/>
  <c r="D555" i="15"/>
  <c r="E555" i="15"/>
  <c r="F555" i="15"/>
  <c r="G555" i="15"/>
  <c r="H555" i="15"/>
  <c r="I555" i="15"/>
  <c r="J555" i="15"/>
  <c r="K555" i="15"/>
  <c r="L555" i="15"/>
  <c r="M555" i="15"/>
  <c r="N555" i="15"/>
  <c r="O555" i="15"/>
  <c r="A556" i="15"/>
  <c r="B556" i="15"/>
  <c r="C556" i="15"/>
  <c r="D556" i="15"/>
  <c r="E556" i="15"/>
  <c r="F556" i="15"/>
  <c r="G556" i="15"/>
  <c r="H556" i="15"/>
  <c r="I556" i="15"/>
  <c r="J556" i="15"/>
  <c r="K556" i="15"/>
  <c r="L556" i="15"/>
  <c r="M556" i="15"/>
  <c r="N556" i="15"/>
  <c r="O556" i="15"/>
  <c r="A557" i="15"/>
  <c r="B557" i="15"/>
  <c r="C557" i="15"/>
  <c r="D557" i="15"/>
  <c r="E557" i="15"/>
  <c r="F557" i="15"/>
  <c r="G557" i="15"/>
  <c r="H557" i="15"/>
  <c r="I557" i="15"/>
  <c r="J557" i="15"/>
  <c r="K557" i="15"/>
  <c r="L557" i="15"/>
  <c r="M557" i="15"/>
  <c r="N557" i="15"/>
  <c r="O557" i="15"/>
  <c r="A558" i="15"/>
  <c r="B558" i="15"/>
  <c r="C558" i="15"/>
  <c r="D558" i="15"/>
  <c r="E558" i="15"/>
  <c r="F558" i="15"/>
  <c r="G558" i="15"/>
  <c r="H558" i="15"/>
  <c r="I558" i="15"/>
  <c r="J558" i="15"/>
  <c r="K558" i="15"/>
  <c r="L558" i="15"/>
  <c r="M558" i="15"/>
  <c r="N558" i="15"/>
  <c r="O558" i="15"/>
  <c r="A559" i="15"/>
  <c r="B559" i="15"/>
  <c r="C559" i="15"/>
  <c r="D559" i="15"/>
  <c r="E559" i="15"/>
  <c r="F559" i="15"/>
  <c r="G559" i="15"/>
  <c r="H559" i="15"/>
  <c r="I559" i="15"/>
  <c r="J559" i="15"/>
  <c r="K559" i="15"/>
  <c r="L559" i="15"/>
  <c r="M559" i="15"/>
  <c r="N559" i="15"/>
  <c r="O559" i="15"/>
  <c r="A560" i="15"/>
  <c r="B560" i="15"/>
  <c r="C560" i="15"/>
  <c r="D560" i="15"/>
  <c r="E560" i="15"/>
  <c r="F560" i="15"/>
  <c r="G560" i="15"/>
  <c r="H560" i="15"/>
  <c r="I560" i="15"/>
  <c r="J560" i="15"/>
  <c r="K560" i="15"/>
  <c r="L560" i="15"/>
  <c r="M560" i="15"/>
  <c r="N560" i="15"/>
  <c r="O560" i="15"/>
  <c r="A561" i="15"/>
  <c r="B561" i="15"/>
  <c r="C561" i="15"/>
  <c r="D561" i="15"/>
  <c r="E561" i="15"/>
  <c r="F561" i="15"/>
  <c r="G561" i="15"/>
  <c r="H561" i="15"/>
  <c r="I561" i="15"/>
  <c r="J561" i="15"/>
  <c r="K561" i="15"/>
  <c r="L561" i="15"/>
  <c r="M561" i="15"/>
  <c r="N561" i="15"/>
  <c r="O561" i="15"/>
  <c r="A562" i="15"/>
  <c r="B562" i="15"/>
  <c r="C562" i="15"/>
  <c r="D562" i="15"/>
  <c r="E562" i="15"/>
  <c r="F562" i="15"/>
  <c r="G562" i="15"/>
  <c r="H562" i="15"/>
  <c r="I562" i="15"/>
  <c r="J562" i="15"/>
  <c r="K562" i="15"/>
  <c r="L562" i="15"/>
  <c r="M562" i="15"/>
  <c r="N562" i="15"/>
  <c r="O562" i="15"/>
  <c r="A563" i="15"/>
  <c r="B563" i="15"/>
  <c r="C563" i="15"/>
  <c r="D563" i="15"/>
  <c r="E563" i="15"/>
  <c r="F563" i="15"/>
  <c r="G563" i="15"/>
  <c r="H563" i="15"/>
  <c r="I563" i="15"/>
  <c r="J563" i="15"/>
  <c r="K563" i="15"/>
  <c r="L563" i="15"/>
  <c r="M563" i="15"/>
  <c r="N563" i="15"/>
  <c r="O563" i="15"/>
  <c r="A564" i="15"/>
  <c r="B564" i="15"/>
  <c r="C564" i="15"/>
  <c r="D564" i="15"/>
  <c r="E564" i="15"/>
  <c r="F564" i="15"/>
  <c r="G564" i="15"/>
  <c r="H564" i="15"/>
  <c r="I564" i="15"/>
  <c r="J564" i="15"/>
  <c r="K564" i="15"/>
  <c r="L564" i="15"/>
  <c r="M564" i="15"/>
  <c r="N564" i="15"/>
  <c r="O564" i="15"/>
  <c r="A565" i="15"/>
  <c r="B565" i="15"/>
  <c r="C565" i="15"/>
  <c r="D565" i="15"/>
  <c r="E565" i="15"/>
  <c r="F565" i="15"/>
  <c r="G565" i="15"/>
  <c r="H565" i="15"/>
  <c r="I565" i="15"/>
  <c r="J565" i="15"/>
  <c r="K565" i="15"/>
  <c r="L565" i="15"/>
  <c r="M565" i="15"/>
  <c r="N565" i="15"/>
  <c r="O565" i="15"/>
  <c r="A566" i="15"/>
  <c r="B566" i="15"/>
  <c r="C566" i="15"/>
  <c r="D566" i="15"/>
  <c r="E566" i="15"/>
  <c r="F566" i="15"/>
  <c r="G566" i="15"/>
  <c r="H566" i="15"/>
  <c r="I566" i="15"/>
  <c r="J566" i="15"/>
  <c r="K566" i="15"/>
  <c r="L566" i="15"/>
  <c r="M566" i="15"/>
  <c r="N566" i="15"/>
  <c r="O566" i="15"/>
  <c r="A567" i="15"/>
  <c r="B567" i="15"/>
  <c r="C567" i="15"/>
  <c r="D567" i="15"/>
  <c r="E567" i="15"/>
  <c r="F567" i="15"/>
  <c r="G567" i="15"/>
  <c r="H567" i="15"/>
  <c r="I567" i="15"/>
  <c r="J567" i="15"/>
  <c r="K567" i="15"/>
  <c r="L567" i="15"/>
  <c r="M567" i="15"/>
  <c r="N567" i="15"/>
  <c r="O567" i="15"/>
  <c r="A568" i="15"/>
  <c r="B568" i="15"/>
  <c r="C568" i="15"/>
  <c r="D568" i="15"/>
  <c r="E568" i="15"/>
  <c r="F568" i="15"/>
  <c r="G568" i="15"/>
  <c r="H568" i="15"/>
  <c r="I568" i="15"/>
  <c r="J568" i="15"/>
  <c r="K568" i="15"/>
  <c r="L568" i="15"/>
  <c r="M568" i="15"/>
  <c r="N568" i="15"/>
  <c r="O568" i="15"/>
  <c r="A569" i="15"/>
  <c r="B569" i="15"/>
  <c r="C569" i="15"/>
  <c r="D569" i="15"/>
  <c r="E569" i="15"/>
  <c r="F569" i="15"/>
  <c r="G569" i="15"/>
  <c r="H569" i="15"/>
  <c r="I569" i="15"/>
  <c r="J569" i="15"/>
  <c r="K569" i="15"/>
  <c r="L569" i="15"/>
  <c r="M569" i="15"/>
  <c r="N569" i="15"/>
  <c r="O569" i="15"/>
  <c r="A570" i="15"/>
  <c r="B570" i="15"/>
  <c r="C570" i="15"/>
  <c r="D570" i="15"/>
  <c r="E570" i="15"/>
  <c r="F570" i="15"/>
  <c r="G570" i="15"/>
  <c r="H570" i="15"/>
  <c r="I570" i="15"/>
  <c r="J570" i="15"/>
  <c r="K570" i="15"/>
  <c r="L570" i="15"/>
  <c r="M570" i="15"/>
  <c r="N570" i="15"/>
  <c r="O570" i="15"/>
  <c r="A571" i="15"/>
  <c r="B571" i="15"/>
  <c r="C571" i="15"/>
  <c r="D571" i="15"/>
  <c r="E571" i="15"/>
  <c r="F571" i="15"/>
  <c r="G571" i="15"/>
  <c r="H571" i="15"/>
  <c r="I571" i="15"/>
  <c r="J571" i="15"/>
  <c r="K571" i="15"/>
  <c r="L571" i="15"/>
  <c r="M571" i="15"/>
  <c r="N571" i="15"/>
  <c r="O571" i="15"/>
  <c r="A572" i="15"/>
  <c r="B572" i="15"/>
  <c r="C572" i="15"/>
  <c r="D572" i="15"/>
  <c r="E572" i="15"/>
  <c r="F572" i="15"/>
  <c r="G572" i="15"/>
  <c r="H572" i="15"/>
  <c r="I572" i="15"/>
  <c r="J572" i="15"/>
  <c r="K572" i="15"/>
  <c r="L572" i="15"/>
  <c r="M572" i="15"/>
  <c r="N572" i="15"/>
  <c r="O572" i="15"/>
  <c r="A573" i="15"/>
  <c r="B573" i="15"/>
  <c r="C573" i="15"/>
  <c r="D573" i="15"/>
  <c r="E573" i="15"/>
  <c r="F573" i="15"/>
  <c r="G573" i="15"/>
  <c r="H573" i="15"/>
  <c r="I573" i="15"/>
  <c r="J573" i="15"/>
  <c r="K573" i="15"/>
  <c r="L573" i="15"/>
  <c r="M573" i="15"/>
  <c r="N573" i="15"/>
  <c r="O573" i="15"/>
  <c r="A574" i="15"/>
  <c r="B574" i="15"/>
  <c r="C574" i="15"/>
  <c r="D574" i="15"/>
  <c r="E574" i="15"/>
  <c r="F574" i="15"/>
  <c r="G574" i="15"/>
  <c r="H574" i="15"/>
  <c r="I574" i="15"/>
  <c r="J574" i="15"/>
  <c r="K574" i="15"/>
  <c r="L574" i="15"/>
  <c r="M574" i="15"/>
  <c r="N574" i="15"/>
  <c r="O574" i="15"/>
  <c r="A575" i="15"/>
  <c r="B575" i="15"/>
  <c r="C575" i="15"/>
  <c r="D575" i="15"/>
  <c r="E575" i="15"/>
  <c r="F575" i="15"/>
  <c r="G575" i="15"/>
  <c r="H575" i="15"/>
  <c r="I575" i="15"/>
  <c r="J575" i="15"/>
  <c r="K575" i="15"/>
  <c r="L575" i="15"/>
  <c r="M575" i="15"/>
  <c r="N575" i="15"/>
  <c r="O575" i="15"/>
  <c r="A576" i="15"/>
  <c r="B576" i="15"/>
  <c r="C576" i="15"/>
  <c r="D576" i="15"/>
  <c r="E576" i="15"/>
  <c r="F576" i="15"/>
  <c r="G576" i="15"/>
  <c r="H576" i="15"/>
  <c r="I576" i="15"/>
  <c r="J576" i="15"/>
  <c r="K576" i="15"/>
  <c r="L576" i="15"/>
  <c r="M576" i="15"/>
  <c r="N576" i="15"/>
  <c r="O576" i="15"/>
  <c r="A577" i="15"/>
  <c r="B577" i="15"/>
  <c r="C577" i="15"/>
  <c r="D577" i="15"/>
  <c r="E577" i="15"/>
  <c r="F577" i="15"/>
  <c r="G577" i="15"/>
  <c r="H577" i="15"/>
  <c r="I577" i="15"/>
  <c r="J577" i="15"/>
  <c r="K577" i="15"/>
  <c r="L577" i="15"/>
  <c r="M577" i="15"/>
  <c r="N577" i="15"/>
  <c r="O577" i="15"/>
  <c r="A578" i="15"/>
  <c r="B578" i="15"/>
  <c r="C578" i="15"/>
  <c r="D578" i="15"/>
  <c r="E578" i="15"/>
  <c r="F578" i="15"/>
  <c r="G578" i="15"/>
  <c r="H578" i="15"/>
  <c r="I578" i="15"/>
  <c r="J578" i="15"/>
  <c r="K578" i="15"/>
  <c r="L578" i="15"/>
  <c r="M578" i="15"/>
  <c r="N578" i="15"/>
  <c r="O578" i="15"/>
  <c r="A579" i="15"/>
  <c r="B579" i="15"/>
  <c r="C579" i="15"/>
  <c r="D579" i="15"/>
  <c r="E579" i="15"/>
  <c r="F579" i="15"/>
  <c r="G579" i="15"/>
  <c r="H579" i="15"/>
  <c r="I579" i="15"/>
  <c r="J579" i="15"/>
  <c r="K579" i="15"/>
  <c r="L579" i="15"/>
  <c r="M579" i="15"/>
  <c r="N579" i="15"/>
  <c r="O579" i="15"/>
  <c r="A580" i="15"/>
  <c r="B580" i="15"/>
  <c r="C580" i="15"/>
  <c r="D580" i="15"/>
  <c r="E580" i="15"/>
  <c r="F580" i="15"/>
  <c r="G580" i="15"/>
  <c r="H580" i="15"/>
  <c r="I580" i="15"/>
  <c r="J580" i="15"/>
  <c r="K580" i="15"/>
  <c r="L580" i="15"/>
  <c r="M580" i="15"/>
  <c r="N580" i="15"/>
  <c r="O580" i="15"/>
  <c r="A581" i="15"/>
  <c r="B581" i="15"/>
  <c r="C581" i="15"/>
  <c r="D581" i="15"/>
  <c r="E581" i="15"/>
  <c r="F581" i="15"/>
  <c r="G581" i="15"/>
  <c r="H581" i="15"/>
  <c r="I581" i="15"/>
  <c r="J581" i="15"/>
  <c r="K581" i="15"/>
  <c r="L581" i="15"/>
  <c r="M581" i="15"/>
  <c r="N581" i="15"/>
  <c r="O581" i="15"/>
  <c r="A582" i="15"/>
  <c r="B582" i="15"/>
  <c r="C582" i="15"/>
  <c r="D582" i="15"/>
  <c r="E582" i="15"/>
  <c r="F582" i="15"/>
  <c r="G582" i="15"/>
  <c r="H582" i="15"/>
  <c r="I582" i="15"/>
  <c r="J582" i="15"/>
  <c r="K582" i="15"/>
  <c r="L582" i="15"/>
  <c r="M582" i="15"/>
  <c r="N582" i="15"/>
  <c r="O582" i="15"/>
  <c r="A583" i="15"/>
  <c r="B583" i="15"/>
  <c r="C583" i="15"/>
  <c r="D583" i="15"/>
  <c r="E583" i="15"/>
  <c r="F583" i="15"/>
  <c r="G583" i="15"/>
  <c r="H583" i="15"/>
  <c r="I583" i="15"/>
  <c r="J583" i="15"/>
  <c r="K583" i="15"/>
  <c r="L583" i="15"/>
  <c r="M583" i="15"/>
  <c r="N583" i="15"/>
  <c r="O583" i="15"/>
  <c r="A584" i="15"/>
  <c r="B584" i="15"/>
  <c r="C584" i="15"/>
  <c r="D584" i="15"/>
  <c r="E584" i="15"/>
  <c r="F584" i="15"/>
  <c r="G584" i="15"/>
  <c r="H584" i="15"/>
  <c r="I584" i="15"/>
  <c r="J584" i="15"/>
  <c r="K584" i="15"/>
  <c r="L584" i="15"/>
  <c r="M584" i="15"/>
  <c r="N584" i="15"/>
  <c r="O584" i="15"/>
  <c r="A585" i="15"/>
  <c r="B585" i="15"/>
  <c r="C585" i="15"/>
  <c r="D585" i="15"/>
  <c r="E585" i="15"/>
  <c r="F585" i="15"/>
  <c r="G585" i="15"/>
  <c r="H585" i="15"/>
  <c r="I585" i="15"/>
  <c r="J585" i="15"/>
  <c r="K585" i="15"/>
  <c r="L585" i="15"/>
  <c r="M585" i="15"/>
  <c r="N585" i="15"/>
  <c r="O585" i="15"/>
  <c r="A586" i="15"/>
  <c r="B586" i="15"/>
  <c r="C586" i="15"/>
  <c r="D586" i="15"/>
  <c r="E586" i="15"/>
  <c r="F586" i="15"/>
  <c r="G586" i="15"/>
  <c r="H586" i="15"/>
  <c r="I586" i="15"/>
  <c r="J586" i="15"/>
  <c r="K586" i="15"/>
  <c r="L586" i="15"/>
  <c r="M586" i="15"/>
  <c r="N586" i="15"/>
  <c r="O586" i="15"/>
  <c r="A587" i="15"/>
  <c r="B587" i="15"/>
  <c r="C587" i="15"/>
  <c r="D587" i="15"/>
  <c r="E587" i="15"/>
  <c r="F587" i="15"/>
  <c r="G587" i="15"/>
  <c r="H587" i="15"/>
  <c r="I587" i="15"/>
  <c r="J587" i="15"/>
  <c r="K587" i="15"/>
  <c r="L587" i="15"/>
  <c r="M587" i="15"/>
  <c r="N587" i="15"/>
  <c r="O587" i="15"/>
  <c r="A588" i="15"/>
  <c r="B588" i="15"/>
  <c r="C588" i="15"/>
  <c r="D588" i="15"/>
  <c r="E588" i="15"/>
  <c r="F588" i="15"/>
  <c r="G588" i="15"/>
  <c r="H588" i="15"/>
  <c r="I588" i="15"/>
  <c r="J588" i="15"/>
  <c r="K588" i="15"/>
  <c r="L588" i="15"/>
  <c r="M588" i="15"/>
  <c r="N588" i="15"/>
  <c r="O588" i="15"/>
  <c r="A589" i="15"/>
  <c r="B589" i="15"/>
  <c r="C589" i="15"/>
  <c r="D589" i="15"/>
  <c r="E589" i="15"/>
  <c r="F589" i="15"/>
  <c r="G589" i="15"/>
  <c r="H589" i="15"/>
  <c r="I589" i="15"/>
  <c r="J589" i="15"/>
  <c r="K589" i="15"/>
  <c r="L589" i="15"/>
  <c r="M589" i="15"/>
  <c r="N589" i="15"/>
  <c r="O589" i="15"/>
  <c r="A590" i="15"/>
  <c r="B590" i="15"/>
  <c r="C590" i="15"/>
  <c r="D590" i="15"/>
  <c r="E590" i="15"/>
  <c r="F590" i="15"/>
  <c r="G590" i="15"/>
  <c r="H590" i="15"/>
  <c r="I590" i="15"/>
  <c r="J590" i="15"/>
  <c r="K590" i="15"/>
  <c r="L590" i="15"/>
  <c r="M590" i="15"/>
  <c r="N590" i="15"/>
  <c r="O590" i="15"/>
  <c r="A591" i="15"/>
  <c r="B591" i="15"/>
  <c r="C591" i="15"/>
  <c r="D591" i="15"/>
  <c r="E591" i="15"/>
  <c r="F591" i="15"/>
  <c r="G591" i="15"/>
  <c r="H591" i="15"/>
  <c r="I591" i="15"/>
  <c r="J591" i="15"/>
  <c r="K591" i="15"/>
  <c r="L591" i="15"/>
  <c r="M591" i="15"/>
  <c r="N591" i="15"/>
  <c r="O591" i="15"/>
  <c r="A592" i="15"/>
  <c r="B592" i="15"/>
  <c r="C592" i="15"/>
  <c r="D592" i="15"/>
  <c r="E592" i="15"/>
  <c r="F592" i="15"/>
  <c r="G592" i="15"/>
  <c r="H592" i="15"/>
  <c r="I592" i="15"/>
  <c r="J592" i="15"/>
  <c r="K592" i="15"/>
  <c r="L592" i="15"/>
  <c r="M592" i="15"/>
  <c r="N592" i="15"/>
  <c r="O592" i="15"/>
  <c r="A593" i="15"/>
  <c r="B593" i="15"/>
  <c r="C593" i="15"/>
  <c r="D593" i="15"/>
  <c r="E593" i="15"/>
  <c r="F593" i="15"/>
  <c r="G593" i="15"/>
  <c r="H593" i="15"/>
  <c r="I593" i="15"/>
  <c r="J593" i="15"/>
  <c r="K593" i="15"/>
  <c r="L593" i="15"/>
  <c r="M593" i="15"/>
  <c r="N593" i="15"/>
  <c r="O593" i="15"/>
  <c r="A594" i="15"/>
  <c r="B594" i="15"/>
  <c r="C594" i="15"/>
  <c r="D594" i="15"/>
  <c r="E594" i="15"/>
  <c r="F594" i="15"/>
  <c r="G594" i="15"/>
  <c r="H594" i="15"/>
  <c r="I594" i="15"/>
  <c r="J594" i="15"/>
  <c r="K594" i="15"/>
  <c r="L594" i="15"/>
  <c r="M594" i="15"/>
  <c r="N594" i="15"/>
  <c r="O594" i="15"/>
  <c r="A595" i="15"/>
  <c r="B595" i="15"/>
  <c r="C595" i="15"/>
  <c r="D595" i="15"/>
  <c r="E595" i="15"/>
  <c r="F595" i="15"/>
  <c r="G595" i="15"/>
  <c r="H595" i="15"/>
  <c r="I595" i="15"/>
  <c r="J595" i="15"/>
  <c r="K595" i="15"/>
  <c r="L595" i="15"/>
  <c r="M595" i="15"/>
  <c r="N595" i="15"/>
  <c r="O595" i="15"/>
  <c r="A596" i="15"/>
  <c r="B596" i="15"/>
  <c r="C596" i="15"/>
  <c r="D596" i="15"/>
  <c r="E596" i="15"/>
  <c r="F596" i="15"/>
  <c r="G596" i="15"/>
  <c r="H596" i="15"/>
  <c r="I596" i="15"/>
  <c r="J596" i="15"/>
  <c r="K596" i="15"/>
  <c r="L596" i="15"/>
  <c r="M596" i="15"/>
  <c r="N596" i="15"/>
  <c r="O596" i="15"/>
  <c r="A597" i="15"/>
  <c r="B597" i="15"/>
  <c r="C597" i="15"/>
  <c r="D597" i="15"/>
  <c r="E597" i="15"/>
  <c r="F597" i="15"/>
  <c r="G597" i="15"/>
  <c r="H597" i="15"/>
  <c r="I597" i="15"/>
  <c r="J597" i="15"/>
  <c r="K597" i="15"/>
  <c r="L597" i="15"/>
  <c r="M597" i="15"/>
  <c r="N597" i="15"/>
  <c r="O597" i="15"/>
  <c r="A598" i="15"/>
  <c r="B598" i="15"/>
  <c r="C598" i="15"/>
  <c r="D598" i="15"/>
  <c r="E598" i="15"/>
  <c r="F598" i="15"/>
  <c r="G598" i="15"/>
  <c r="H598" i="15"/>
  <c r="I598" i="15"/>
  <c r="J598" i="15"/>
  <c r="K598" i="15"/>
  <c r="L598" i="15"/>
  <c r="M598" i="15"/>
  <c r="N598" i="15"/>
  <c r="O598" i="15"/>
  <c r="A599" i="15"/>
  <c r="B599" i="15"/>
  <c r="C599" i="15"/>
  <c r="D599" i="15"/>
  <c r="E599" i="15"/>
  <c r="F599" i="15"/>
  <c r="G599" i="15"/>
  <c r="H599" i="15"/>
  <c r="I599" i="15"/>
  <c r="J599" i="15"/>
  <c r="K599" i="15"/>
  <c r="L599" i="15"/>
  <c r="M599" i="15"/>
  <c r="N599" i="15"/>
  <c r="O599" i="15"/>
  <c r="A600" i="15"/>
  <c r="B600" i="15"/>
  <c r="C600" i="15"/>
  <c r="D600" i="15"/>
  <c r="E600" i="15"/>
  <c r="F600" i="15"/>
  <c r="G600" i="15"/>
  <c r="H600" i="15"/>
  <c r="I600" i="15"/>
  <c r="J600" i="15"/>
  <c r="K600" i="15"/>
  <c r="L600" i="15"/>
  <c r="M600" i="15"/>
  <c r="N600" i="15"/>
  <c r="O600" i="15"/>
  <c r="A601" i="15"/>
  <c r="B601" i="15"/>
  <c r="C601" i="15"/>
  <c r="D601" i="15"/>
  <c r="E601" i="15"/>
  <c r="F601" i="15"/>
  <c r="G601" i="15"/>
  <c r="H601" i="15"/>
  <c r="I601" i="15"/>
  <c r="J601" i="15"/>
  <c r="K601" i="15"/>
  <c r="L601" i="15"/>
  <c r="M601" i="15"/>
  <c r="N601" i="15"/>
  <c r="O601" i="15"/>
  <c r="A602" i="15"/>
  <c r="B602" i="15"/>
  <c r="C602" i="15"/>
  <c r="D602" i="15"/>
  <c r="E602" i="15"/>
  <c r="F602" i="15"/>
  <c r="G602" i="15"/>
  <c r="H602" i="15"/>
  <c r="I602" i="15"/>
  <c r="J602" i="15"/>
  <c r="K602" i="15"/>
  <c r="L602" i="15"/>
  <c r="M602" i="15"/>
  <c r="N602" i="15"/>
  <c r="O602" i="15"/>
  <c r="A603" i="15"/>
  <c r="B603" i="15"/>
  <c r="C603" i="15"/>
  <c r="D603" i="15"/>
  <c r="E603" i="15"/>
  <c r="F603" i="15"/>
  <c r="G603" i="15"/>
  <c r="H603" i="15"/>
  <c r="I603" i="15"/>
  <c r="J603" i="15"/>
  <c r="K603" i="15"/>
  <c r="L603" i="15"/>
  <c r="M603" i="15"/>
  <c r="N603" i="15"/>
  <c r="O603" i="15"/>
  <c r="A604" i="15"/>
  <c r="B604" i="15"/>
  <c r="C604" i="15"/>
  <c r="D604" i="15"/>
  <c r="E604" i="15"/>
  <c r="F604" i="15"/>
  <c r="G604" i="15"/>
  <c r="H604" i="15"/>
  <c r="I604" i="15"/>
  <c r="J604" i="15"/>
  <c r="K604" i="15"/>
  <c r="L604" i="15"/>
  <c r="M604" i="15"/>
  <c r="N604" i="15"/>
  <c r="O604" i="15"/>
  <c r="A605" i="15"/>
  <c r="B605" i="15"/>
  <c r="C605" i="15"/>
  <c r="D605" i="15"/>
  <c r="E605" i="15"/>
  <c r="F605" i="15"/>
  <c r="G605" i="15"/>
  <c r="H605" i="15"/>
  <c r="I605" i="15"/>
  <c r="J605" i="15"/>
  <c r="K605" i="15"/>
  <c r="L605" i="15"/>
  <c r="M605" i="15"/>
  <c r="N605" i="15"/>
  <c r="O605" i="15"/>
  <c r="A606" i="15"/>
  <c r="B606" i="15"/>
  <c r="C606" i="15"/>
  <c r="D606" i="15"/>
  <c r="E606" i="15"/>
  <c r="F606" i="15"/>
  <c r="G606" i="15"/>
  <c r="H606" i="15"/>
  <c r="I606" i="15"/>
  <c r="J606" i="15"/>
  <c r="K606" i="15"/>
  <c r="L606" i="15"/>
  <c r="M606" i="15"/>
  <c r="N606" i="15"/>
  <c r="O606" i="15"/>
  <c r="A607" i="15"/>
  <c r="B607" i="15"/>
  <c r="C607" i="15"/>
  <c r="D607" i="15"/>
  <c r="E607" i="15"/>
  <c r="F607" i="15"/>
  <c r="G607" i="15"/>
  <c r="H607" i="15"/>
  <c r="I607" i="15"/>
  <c r="J607" i="15"/>
  <c r="K607" i="15"/>
  <c r="L607" i="15"/>
  <c r="M607" i="15"/>
  <c r="N607" i="15"/>
  <c r="O607" i="15"/>
  <c r="A608" i="15"/>
  <c r="B608" i="15"/>
  <c r="C608" i="15"/>
  <c r="D608" i="15"/>
  <c r="E608" i="15"/>
  <c r="F608" i="15"/>
  <c r="G608" i="15"/>
  <c r="H608" i="15"/>
  <c r="I608" i="15"/>
  <c r="J608" i="15"/>
  <c r="K608" i="15"/>
  <c r="L608" i="15"/>
  <c r="M608" i="15"/>
  <c r="N608" i="15"/>
  <c r="O608" i="15"/>
  <c r="A609" i="15"/>
  <c r="B609" i="15"/>
  <c r="C609" i="15"/>
  <c r="D609" i="15"/>
  <c r="E609" i="15"/>
  <c r="F609" i="15"/>
  <c r="G609" i="15"/>
  <c r="H609" i="15"/>
  <c r="I609" i="15"/>
  <c r="J609" i="15"/>
  <c r="K609" i="15"/>
  <c r="L609" i="15"/>
  <c r="M609" i="15"/>
  <c r="N609" i="15"/>
  <c r="O609" i="15"/>
  <c r="A610" i="15"/>
  <c r="B610" i="15"/>
  <c r="C610" i="15"/>
  <c r="D610" i="15"/>
  <c r="E610" i="15"/>
  <c r="F610" i="15"/>
  <c r="G610" i="15"/>
  <c r="H610" i="15"/>
  <c r="I610" i="15"/>
  <c r="J610" i="15"/>
  <c r="K610" i="15"/>
  <c r="L610" i="15"/>
  <c r="M610" i="15"/>
  <c r="N610" i="15"/>
  <c r="O610" i="15"/>
  <c r="A611" i="15"/>
  <c r="B611" i="15"/>
  <c r="C611" i="15"/>
  <c r="D611" i="15"/>
  <c r="E611" i="15"/>
  <c r="F611" i="15"/>
  <c r="G611" i="15"/>
  <c r="H611" i="15"/>
  <c r="I611" i="15"/>
  <c r="J611" i="15"/>
  <c r="K611" i="15"/>
  <c r="L611" i="15"/>
  <c r="M611" i="15"/>
  <c r="N611" i="15"/>
  <c r="O611" i="15"/>
  <c r="A612" i="15"/>
  <c r="B612" i="15"/>
  <c r="C612" i="15"/>
  <c r="D612" i="15"/>
  <c r="E612" i="15"/>
  <c r="F612" i="15"/>
  <c r="G612" i="15"/>
  <c r="H612" i="15"/>
  <c r="I612" i="15"/>
  <c r="J612" i="15"/>
  <c r="K612" i="15"/>
  <c r="L612" i="15"/>
  <c r="M612" i="15"/>
  <c r="N612" i="15"/>
  <c r="O612" i="15"/>
  <c r="A613" i="15"/>
  <c r="B613" i="15"/>
  <c r="C613" i="15"/>
  <c r="D613" i="15"/>
  <c r="E613" i="15"/>
  <c r="F613" i="15"/>
  <c r="G613" i="15"/>
  <c r="H613" i="15"/>
  <c r="I613" i="15"/>
  <c r="J613" i="15"/>
  <c r="K613" i="15"/>
  <c r="L613" i="15"/>
  <c r="M613" i="15"/>
  <c r="N613" i="15"/>
  <c r="O613" i="15"/>
  <c r="A614" i="15"/>
  <c r="B614" i="15"/>
  <c r="C614" i="15"/>
  <c r="D614" i="15"/>
  <c r="E614" i="15"/>
  <c r="F614" i="15"/>
  <c r="G614" i="15"/>
  <c r="H614" i="15"/>
  <c r="I614" i="15"/>
  <c r="J614" i="15"/>
  <c r="K614" i="15"/>
  <c r="L614" i="15"/>
  <c r="M614" i="15"/>
  <c r="N614" i="15"/>
  <c r="O614" i="15"/>
  <c r="A615" i="15"/>
  <c r="B615" i="15"/>
  <c r="C615" i="15"/>
  <c r="D615" i="15"/>
  <c r="E615" i="15"/>
  <c r="F615" i="15"/>
  <c r="G615" i="15"/>
  <c r="H615" i="15"/>
  <c r="I615" i="15"/>
  <c r="J615" i="15"/>
  <c r="K615" i="15"/>
  <c r="L615" i="15"/>
  <c r="M615" i="15"/>
  <c r="N615" i="15"/>
  <c r="O615" i="15"/>
  <c r="A616" i="15"/>
  <c r="B616" i="15"/>
  <c r="C616" i="15"/>
  <c r="D616" i="15"/>
  <c r="E616" i="15"/>
  <c r="F616" i="15"/>
  <c r="G616" i="15"/>
  <c r="H616" i="15"/>
  <c r="I616" i="15"/>
  <c r="J616" i="15"/>
  <c r="K616" i="15"/>
  <c r="L616" i="15"/>
  <c r="M616" i="15"/>
  <c r="N616" i="15"/>
  <c r="O616" i="15"/>
  <c r="A617" i="15"/>
  <c r="B617" i="15"/>
  <c r="C617" i="15"/>
  <c r="D617" i="15"/>
  <c r="E617" i="15"/>
  <c r="F617" i="15"/>
  <c r="G617" i="15"/>
  <c r="H617" i="15"/>
  <c r="I617" i="15"/>
  <c r="J617" i="15"/>
  <c r="K617" i="15"/>
  <c r="L617" i="15"/>
  <c r="M617" i="15"/>
  <c r="N617" i="15"/>
  <c r="O617" i="15"/>
  <c r="A618" i="15"/>
  <c r="B618" i="15"/>
  <c r="C618" i="15"/>
  <c r="D618" i="15"/>
  <c r="E618" i="15"/>
  <c r="F618" i="15"/>
  <c r="G618" i="15"/>
  <c r="H618" i="15"/>
  <c r="I618" i="15"/>
  <c r="J618" i="15"/>
  <c r="K618" i="15"/>
  <c r="L618" i="15"/>
  <c r="M618" i="15"/>
  <c r="N618" i="15"/>
  <c r="O618" i="15"/>
  <c r="A619" i="15"/>
  <c r="B619" i="15"/>
  <c r="C619" i="15"/>
  <c r="D619" i="15"/>
  <c r="E619" i="15"/>
  <c r="F619" i="15"/>
  <c r="G619" i="15"/>
  <c r="H619" i="15"/>
  <c r="I619" i="15"/>
  <c r="J619" i="15"/>
  <c r="K619" i="15"/>
  <c r="L619" i="15"/>
  <c r="M619" i="15"/>
  <c r="N619" i="15"/>
  <c r="O619" i="15"/>
  <c r="A620" i="15"/>
  <c r="B620" i="15"/>
  <c r="C620" i="15"/>
  <c r="D620" i="15"/>
  <c r="E620" i="15"/>
  <c r="F620" i="15"/>
  <c r="G620" i="15"/>
  <c r="H620" i="15"/>
  <c r="I620" i="15"/>
  <c r="J620" i="15"/>
  <c r="K620" i="15"/>
  <c r="L620" i="15"/>
  <c r="M620" i="15"/>
  <c r="N620" i="15"/>
  <c r="O620" i="15"/>
  <c r="A621" i="15"/>
  <c r="B621" i="15"/>
  <c r="C621" i="15"/>
  <c r="D621" i="15"/>
  <c r="E621" i="15"/>
  <c r="F621" i="15"/>
  <c r="G621" i="15"/>
  <c r="H621" i="15"/>
  <c r="I621" i="15"/>
  <c r="J621" i="15"/>
  <c r="K621" i="15"/>
  <c r="L621" i="15"/>
  <c r="M621" i="15"/>
  <c r="N621" i="15"/>
  <c r="O621" i="15"/>
  <c r="A622" i="15"/>
  <c r="B622" i="15"/>
  <c r="C622" i="15"/>
  <c r="D622" i="15"/>
  <c r="E622" i="15"/>
  <c r="F622" i="15"/>
  <c r="G622" i="15"/>
  <c r="H622" i="15"/>
  <c r="I622" i="15"/>
  <c r="J622" i="15"/>
  <c r="K622" i="15"/>
  <c r="L622" i="15"/>
  <c r="M622" i="15"/>
  <c r="N622" i="15"/>
  <c r="O622" i="15"/>
  <c r="A623" i="15"/>
  <c r="B623" i="15"/>
  <c r="C623" i="15"/>
  <c r="D623" i="15"/>
  <c r="E623" i="15"/>
  <c r="F623" i="15"/>
  <c r="G623" i="15"/>
  <c r="H623" i="15"/>
  <c r="I623" i="15"/>
  <c r="J623" i="15"/>
  <c r="K623" i="15"/>
  <c r="L623" i="15"/>
  <c r="M623" i="15"/>
  <c r="N623" i="15"/>
  <c r="O623" i="15"/>
  <c r="A624" i="15"/>
  <c r="B624" i="15"/>
  <c r="C624" i="15"/>
  <c r="D624" i="15"/>
  <c r="E624" i="15"/>
  <c r="F624" i="15"/>
  <c r="G624" i="15"/>
  <c r="H624" i="15"/>
  <c r="I624" i="15"/>
  <c r="J624" i="15"/>
  <c r="K624" i="15"/>
  <c r="L624" i="15"/>
  <c r="M624" i="15"/>
  <c r="N624" i="15"/>
  <c r="O624" i="15"/>
  <c r="A625" i="15"/>
  <c r="B625" i="15"/>
  <c r="C625" i="15"/>
  <c r="D625" i="15"/>
  <c r="E625" i="15"/>
  <c r="F625" i="15"/>
  <c r="G625" i="15"/>
  <c r="H625" i="15"/>
  <c r="I625" i="15"/>
  <c r="J625" i="15"/>
  <c r="K625" i="15"/>
  <c r="L625" i="15"/>
  <c r="M625" i="15"/>
  <c r="N625" i="15"/>
  <c r="O625" i="15"/>
  <c r="A626" i="15"/>
  <c r="B626" i="15"/>
  <c r="C626" i="15"/>
  <c r="D626" i="15"/>
  <c r="E626" i="15"/>
  <c r="F626" i="15"/>
  <c r="G626" i="15"/>
  <c r="H626" i="15"/>
  <c r="I626" i="15"/>
  <c r="J626" i="15"/>
  <c r="K626" i="15"/>
  <c r="L626" i="15"/>
  <c r="M626" i="15"/>
  <c r="N626" i="15"/>
  <c r="O626" i="15"/>
  <c r="A627" i="15"/>
  <c r="B627" i="15"/>
  <c r="C627" i="15"/>
  <c r="D627" i="15"/>
  <c r="E627" i="15"/>
  <c r="F627" i="15"/>
  <c r="G627" i="15"/>
  <c r="H627" i="15"/>
  <c r="I627" i="15"/>
  <c r="J627" i="15"/>
  <c r="K627" i="15"/>
  <c r="L627" i="15"/>
  <c r="M627" i="15"/>
  <c r="N627" i="15"/>
  <c r="O627" i="15"/>
  <c r="A628" i="15"/>
  <c r="B628" i="15"/>
  <c r="C628" i="15"/>
  <c r="D628" i="15"/>
  <c r="E628" i="15"/>
  <c r="F628" i="15"/>
  <c r="G628" i="15"/>
  <c r="H628" i="15"/>
  <c r="I628" i="15"/>
  <c r="J628" i="15"/>
  <c r="K628" i="15"/>
  <c r="L628" i="15"/>
  <c r="M628" i="15"/>
  <c r="N628" i="15"/>
  <c r="O628" i="15"/>
  <c r="A629" i="15"/>
  <c r="B629" i="15"/>
  <c r="C629" i="15"/>
  <c r="D629" i="15"/>
  <c r="E629" i="15"/>
  <c r="F629" i="15"/>
  <c r="G629" i="15"/>
  <c r="H629" i="15"/>
  <c r="I629" i="15"/>
  <c r="J629" i="15"/>
  <c r="K629" i="15"/>
  <c r="L629" i="15"/>
  <c r="M629" i="15"/>
  <c r="N629" i="15"/>
  <c r="O629" i="15"/>
  <c r="A630" i="15"/>
  <c r="B630" i="15"/>
  <c r="C630" i="15"/>
  <c r="D630" i="15"/>
  <c r="E630" i="15"/>
  <c r="F630" i="15"/>
  <c r="G630" i="15"/>
  <c r="H630" i="15"/>
  <c r="I630" i="15"/>
  <c r="J630" i="15"/>
  <c r="K630" i="15"/>
  <c r="L630" i="15"/>
  <c r="M630" i="15"/>
  <c r="N630" i="15"/>
  <c r="O630" i="15"/>
  <c r="A631" i="15"/>
  <c r="B631" i="15"/>
  <c r="C631" i="15"/>
  <c r="D631" i="15"/>
  <c r="E631" i="15"/>
  <c r="F631" i="15"/>
  <c r="G631" i="15"/>
  <c r="H631" i="15"/>
  <c r="I631" i="15"/>
  <c r="J631" i="15"/>
  <c r="K631" i="15"/>
  <c r="L631" i="15"/>
  <c r="M631" i="15"/>
  <c r="N631" i="15"/>
  <c r="O631" i="15"/>
  <c r="A632" i="15"/>
  <c r="B632" i="15"/>
  <c r="C632" i="15"/>
  <c r="D632" i="15"/>
  <c r="E632" i="15"/>
  <c r="F632" i="15"/>
  <c r="G632" i="15"/>
  <c r="H632" i="15"/>
  <c r="I632" i="15"/>
  <c r="J632" i="15"/>
  <c r="K632" i="15"/>
  <c r="L632" i="15"/>
  <c r="M632" i="15"/>
  <c r="N632" i="15"/>
  <c r="O632" i="15"/>
  <c r="A633" i="15"/>
  <c r="B633" i="15"/>
  <c r="C633" i="15"/>
  <c r="D633" i="15"/>
  <c r="E633" i="15"/>
  <c r="F633" i="15"/>
  <c r="G633" i="15"/>
  <c r="H633" i="15"/>
  <c r="I633" i="15"/>
  <c r="J633" i="15"/>
  <c r="K633" i="15"/>
  <c r="L633" i="15"/>
  <c r="M633" i="15"/>
  <c r="N633" i="15"/>
  <c r="O633" i="15"/>
  <c r="A634" i="15"/>
  <c r="B634" i="15"/>
  <c r="C634" i="15"/>
  <c r="D634" i="15"/>
  <c r="E634" i="15"/>
  <c r="F634" i="15"/>
  <c r="G634" i="15"/>
  <c r="H634" i="15"/>
  <c r="I634" i="15"/>
  <c r="J634" i="15"/>
  <c r="K634" i="15"/>
  <c r="L634" i="15"/>
  <c r="M634" i="15"/>
  <c r="N634" i="15"/>
  <c r="O634" i="15"/>
  <c r="A635" i="15"/>
  <c r="B635" i="15"/>
  <c r="C635" i="15"/>
  <c r="D635" i="15"/>
  <c r="E635" i="15"/>
  <c r="F635" i="15"/>
  <c r="G635" i="15"/>
  <c r="H635" i="15"/>
  <c r="I635" i="15"/>
  <c r="J635" i="15"/>
  <c r="K635" i="15"/>
  <c r="L635" i="15"/>
  <c r="M635" i="15"/>
  <c r="N635" i="15"/>
  <c r="O635" i="15"/>
  <c r="A636" i="15"/>
  <c r="B636" i="15"/>
  <c r="C636" i="15"/>
  <c r="D636" i="15"/>
  <c r="E636" i="15"/>
  <c r="F636" i="15"/>
  <c r="G636" i="15"/>
  <c r="H636" i="15"/>
  <c r="I636" i="15"/>
  <c r="J636" i="15"/>
  <c r="K636" i="15"/>
  <c r="L636" i="15"/>
  <c r="M636" i="15"/>
  <c r="N636" i="15"/>
  <c r="O636" i="15"/>
  <c r="A637" i="15"/>
  <c r="B637" i="15"/>
  <c r="C637" i="15"/>
  <c r="D637" i="15"/>
  <c r="E637" i="15"/>
  <c r="F637" i="15"/>
  <c r="G637" i="15"/>
  <c r="H637" i="15"/>
  <c r="I637" i="15"/>
  <c r="J637" i="15"/>
  <c r="K637" i="15"/>
  <c r="L637" i="15"/>
  <c r="M637" i="15"/>
  <c r="N637" i="15"/>
  <c r="O637" i="15"/>
  <c r="A638" i="15"/>
  <c r="B638" i="15"/>
  <c r="C638" i="15"/>
  <c r="D638" i="15"/>
  <c r="E638" i="15"/>
  <c r="F638" i="15"/>
  <c r="G638" i="15"/>
  <c r="H638" i="15"/>
  <c r="I638" i="15"/>
  <c r="J638" i="15"/>
  <c r="K638" i="15"/>
  <c r="L638" i="15"/>
  <c r="M638" i="15"/>
  <c r="N638" i="15"/>
  <c r="O638" i="15"/>
  <c r="A639" i="15"/>
  <c r="B639" i="15"/>
  <c r="C639" i="15"/>
  <c r="D639" i="15"/>
  <c r="E639" i="15"/>
  <c r="F639" i="15"/>
  <c r="G639" i="15"/>
  <c r="H639" i="15"/>
  <c r="I639" i="15"/>
  <c r="J639" i="15"/>
  <c r="K639" i="15"/>
  <c r="L639" i="15"/>
  <c r="M639" i="15"/>
  <c r="N639" i="15"/>
  <c r="O639" i="15"/>
  <c r="A640" i="15"/>
  <c r="B640" i="15"/>
  <c r="C640" i="15"/>
  <c r="D640" i="15"/>
  <c r="E640" i="15"/>
  <c r="F640" i="15"/>
  <c r="G640" i="15"/>
  <c r="H640" i="15"/>
  <c r="I640" i="15"/>
  <c r="J640" i="15"/>
  <c r="K640" i="15"/>
  <c r="L640" i="15"/>
  <c r="M640" i="15"/>
  <c r="N640" i="15"/>
  <c r="O640" i="15"/>
  <c r="A641" i="15"/>
  <c r="B641" i="15"/>
  <c r="C641" i="15"/>
  <c r="D641" i="15"/>
  <c r="E641" i="15"/>
  <c r="F641" i="15"/>
  <c r="G641" i="15"/>
  <c r="H641" i="15"/>
  <c r="I641" i="15"/>
  <c r="J641" i="15"/>
  <c r="K641" i="15"/>
  <c r="L641" i="15"/>
  <c r="M641" i="15"/>
  <c r="N641" i="15"/>
  <c r="O641" i="15"/>
  <c r="A642" i="15"/>
  <c r="B642" i="15"/>
  <c r="C642" i="15"/>
  <c r="D642" i="15"/>
  <c r="E642" i="15"/>
  <c r="F642" i="15"/>
  <c r="G642" i="15"/>
  <c r="H642" i="15"/>
  <c r="I642" i="15"/>
  <c r="J642" i="15"/>
  <c r="K642" i="15"/>
  <c r="L642" i="15"/>
  <c r="M642" i="15"/>
  <c r="N642" i="15"/>
  <c r="O642" i="15"/>
  <c r="A643" i="15"/>
  <c r="B643" i="15"/>
  <c r="C643" i="15"/>
  <c r="D643" i="15"/>
  <c r="E643" i="15"/>
  <c r="F643" i="15"/>
  <c r="G643" i="15"/>
  <c r="H643" i="15"/>
  <c r="I643" i="15"/>
  <c r="J643" i="15"/>
  <c r="K643" i="15"/>
  <c r="L643" i="15"/>
  <c r="M643" i="15"/>
  <c r="N643" i="15"/>
  <c r="O643" i="15"/>
  <c r="A644" i="15"/>
  <c r="B644" i="15"/>
  <c r="C644" i="15"/>
  <c r="D644" i="15"/>
  <c r="E644" i="15"/>
  <c r="F644" i="15"/>
  <c r="G644" i="15"/>
  <c r="H644" i="15"/>
  <c r="I644" i="15"/>
  <c r="J644" i="15"/>
  <c r="K644" i="15"/>
  <c r="L644" i="15"/>
  <c r="M644" i="15"/>
  <c r="N644" i="15"/>
  <c r="O644" i="15"/>
  <c r="A645" i="15"/>
  <c r="B645" i="15"/>
  <c r="C645" i="15"/>
  <c r="D645" i="15"/>
  <c r="E645" i="15"/>
  <c r="F645" i="15"/>
  <c r="G645" i="15"/>
  <c r="H645" i="15"/>
  <c r="I645" i="15"/>
  <c r="J645" i="15"/>
  <c r="K645" i="15"/>
  <c r="L645" i="15"/>
  <c r="M645" i="15"/>
  <c r="N645" i="15"/>
  <c r="O645" i="15"/>
  <c r="A646" i="15"/>
  <c r="B646" i="15"/>
  <c r="C646" i="15"/>
  <c r="D646" i="15"/>
  <c r="E646" i="15"/>
  <c r="F646" i="15"/>
  <c r="G646" i="15"/>
  <c r="H646" i="15"/>
  <c r="I646" i="15"/>
  <c r="J646" i="15"/>
  <c r="K646" i="15"/>
  <c r="L646" i="15"/>
  <c r="M646" i="15"/>
  <c r="N646" i="15"/>
  <c r="O646" i="15"/>
  <c r="A647" i="15"/>
  <c r="B647" i="15"/>
  <c r="C647" i="15"/>
  <c r="D647" i="15"/>
  <c r="E647" i="15"/>
  <c r="F647" i="15"/>
  <c r="G647" i="15"/>
  <c r="H647" i="15"/>
  <c r="I647" i="15"/>
  <c r="J647" i="15"/>
  <c r="K647" i="15"/>
  <c r="L647" i="15"/>
  <c r="M647" i="15"/>
  <c r="N647" i="15"/>
  <c r="O647" i="15"/>
  <c r="A648" i="15"/>
  <c r="B648" i="15"/>
  <c r="C648" i="15"/>
  <c r="D648" i="15"/>
  <c r="E648" i="15"/>
  <c r="F648" i="15"/>
  <c r="G648" i="15"/>
  <c r="H648" i="15"/>
  <c r="I648" i="15"/>
  <c r="J648" i="15"/>
  <c r="K648" i="15"/>
  <c r="L648" i="15"/>
  <c r="M648" i="15"/>
  <c r="N648" i="15"/>
  <c r="O648" i="15"/>
  <c r="A649" i="15"/>
  <c r="B649" i="15"/>
  <c r="C649" i="15"/>
  <c r="D649" i="15"/>
  <c r="E649" i="15"/>
  <c r="F649" i="15"/>
  <c r="G649" i="15"/>
  <c r="H649" i="15"/>
  <c r="I649" i="15"/>
  <c r="J649" i="15"/>
  <c r="K649" i="15"/>
  <c r="L649" i="15"/>
  <c r="M649" i="15"/>
  <c r="N649" i="15"/>
  <c r="O649" i="15"/>
  <c r="A650" i="15"/>
  <c r="B650" i="15"/>
  <c r="C650" i="15"/>
  <c r="D650" i="15"/>
  <c r="E650" i="15"/>
  <c r="F650" i="15"/>
  <c r="G650" i="15"/>
  <c r="H650" i="15"/>
  <c r="I650" i="15"/>
  <c r="J650" i="15"/>
  <c r="K650" i="15"/>
  <c r="L650" i="15"/>
  <c r="M650" i="15"/>
  <c r="N650" i="15"/>
  <c r="O650" i="15"/>
  <c r="A651" i="15"/>
  <c r="B651" i="15"/>
  <c r="C651" i="15"/>
  <c r="D651" i="15"/>
  <c r="E651" i="15"/>
  <c r="F651" i="15"/>
  <c r="G651" i="15"/>
  <c r="H651" i="15"/>
  <c r="I651" i="15"/>
  <c r="J651" i="15"/>
  <c r="K651" i="15"/>
  <c r="L651" i="15"/>
  <c r="M651" i="15"/>
  <c r="N651" i="15"/>
  <c r="O651" i="15"/>
  <c r="A652" i="15"/>
  <c r="B652" i="15"/>
  <c r="C652" i="15"/>
  <c r="D652" i="15"/>
  <c r="E652" i="15"/>
  <c r="F652" i="15"/>
  <c r="G652" i="15"/>
  <c r="H652" i="15"/>
  <c r="I652" i="15"/>
  <c r="J652" i="15"/>
  <c r="K652" i="15"/>
  <c r="L652" i="15"/>
  <c r="M652" i="15"/>
  <c r="N652" i="15"/>
  <c r="O652" i="15"/>
  <c r="A653" i="15"/>
  <c r="B653" i="15"/>
  <c r="C653" i="15"/>
  <c r="D653" i="15"/>
  <c r="E653" i="15"/>
  <c r="F653" i="15"/>
  <c r="G653" i="15"/>
  <c r="H653" i="15"/>
  <c r="I653" i="15"/>
  <c r="J653" i="15"/>
  <c r="K653" i="15"/>
  <c r="L653" i="15"/>
  <c r="M653" i="15"/>
  <c r="N653" i="15"/>
  <c r="O653" i="15"/>
  <c r="A654" i="15"/>
  <c r="B654" i="15"/>
  <c r="C654" i="15"/>
  <c r="D654" i="15"/>
  <c r="E654" i="15"/>
  <c r="F654" i="15"/>
  <c r="G654" i="15"/>
  <c r="H654" i="15"/>
  <c r="I654" i="15"/>
  <c r="J654" i="15"/>
  <c r="K654" i="15"/>
  <c r="L654" i="15"/>
  <c r="M654" i="15"/>
  <c r="N654" i="15"/>
  <c r="O654" i="15"/>
  <c r="A655" i="15"/>
  <c r="B655" i="15"/>
  <c r="C655" i="15"/>
  <c r="D655" i="15"/>
  <c r="E655" i="15"/>
  <c r="F655" i="15"/>
  <c r="G655" i="15"/>
  <c r="H655" i="15"/>
  <c r="I655" i="15"/>
  <c r="J655" i="15"/>
  <c r="K655" i="15"/>
  <c r="L655" i="15"/>
  <c r="M655" i="15"/>
  <c r="N655" i="15"/>
  <c r="O655" i="15"/>
  <c r="A656" i="15"/>
  <c r="B656" i="15"/>
  <c r="C656" i="15"/>
  <c r="D656" i="15"/>
  <c r="E656" i="15"/>
  <c r="F656" i="15"/>
  <c r="G656" i="15"/>
  <c r="H656" i="15"/>
  <c r="I656" i="15"/>
  <c r="J656" i="15"/>
  <c r="K656" i="15"/>
  <c r="L656" i="15"/>
  <c r="M656" i="15"/>
  <c r="N656" i="15"/>
  <c r="O656" i="15"/>
  <c r="A657" i="15"/>
  <c r="B657" i="15"/>
  <c r="C657" i="15"/>
  <c r="D657" i="15"/>
  <c r="E657" i="15"/>
  <c r="F657" i="15"/>
  <c r="G657" i="15"/>
  <c r="H657" i="15"/>
  <c r="I657" i="15"/>
  <c r="J657" i="15"/>
  <c r="K657" i="15"/>
  <c r="L657" i="15"/>
  <c r="M657" i="15"/>
  <c r="N657" i="15"/>
  <c r="O657" i="15"/>
  <c r="A658" i="15"/>
  <c r="B658" i="15"/>
  <c r="C658" i="15"/>
  <c r="D658" i="15"/>
  <c r="E658" i="15"/>
  <c r="F658" i="15"/>
  <c r="G658" i="15"/>
  <c r="H658" i="15"/>
  <c r="I658" i="15"/>
  <c r="J658" i="15"/>
  <c r="K658" i="15"/>
  <c r="L658" i="15"/>
  <c r="M658" i="15"/>
  <c r="N658" i="15"/>
  <c r="O658" i="15"/>
  <c r="A659" i="15"/>
  <c r="B659" i="15"/>
  <c r="C659" i="15"/>
  <c r="D659" i="15"/>
  <c r="E659" i="15"/>
  <c r="F659" i="15"/>
  <c r="G659" i="15"/>
  <c r="H659" i="15"/>
  <c r="I659" i="15"/>
  <c r="J659" i="15"/>
  <c r="K659" i="15"/>
  <c r="L659" i="15"/>
  <c r="M659" i="15"/>
  <c r="N659" i="15"/>
  <c r="O659" i="15"/>
  <c r="A660" i="15"/>
  <c r="B660" i="15"/>
  <c r="C660" i="15"/>
  <c r="D660" i="15"/>
  <c r="E660" i="15"/>
  <c r="F660" i="15"/>
  <c r="G660" i="15"/>
  <c r="H660" i="15"/>
  <c r="I660" i="15"/>
  <c r="J660" i="15"/>
  <c r="K660" i="15"/>
  <c r="L660" i="15"/>
  <c r="M660" i="15"/>
  <c r="N660" i="15"/>
  <c r="O660" i="15"/>
  <c r="A661" i="15"/>
  <c r="B661" i="15"/>
  <c r="C661" i="15"/>
  <c r="D661" i="15"/>
  <c r="E661" i="15"/>
  <c r="F661" i="15"/>
  <c r="G661" i="15"/>
  <c r="H661" i="15"/>
  <c r="I661" i="15"/>
  <c r="J661" i="15"/>
  <c r="K661" i="15"/>
  <c r="L661" i="15"/>
  <c r="M661" i="15"/>
  <c r="N661" i="15"/>
  <c r="O661" i="15"/>
  <c r="A662" i="15"/>
  <c r="B662" i="15"/>
  <c r="C662" i="15"/>
  <c r="D662" i="15"/>
  <c r="E662" i="15"/>
  <c r="F662" i="15"/>
  <c r="G662" i="15"/>
  <c r="H662" i="15"/>
  <c r="I662" i="15"/>
  <c r="J662" i="15"/>
  <c r="K662" i="15"/>
  <c r="L662" i="15"/>
  <c r="M662" i="15"/>
  <c r="N662" i="15"/>
  <c r="O662" i="15"/>
  <c r="A663" i="15"/>
  <c r="B663" i="15"/>
  <c r="C663" i="15"/>
  <c r="D663" i="15"/>
  <c r="E663" i="15"/>
  <c r="F663" i="15"/>
  <c r="G663" i="15"/>
  <c r="H663" i="15"/>
  <c r="I663" i="15"/>
  <c r="J663" i="15"/>
  <c r="K663" i="15"/>
  <c r="L663" i="15"/>
  <c r="M663" i="15"/>
  <c r="N663" i="15"/>
  <c r="O663" i="15"/>
  <c r="A664" i="15"/>
  <c r="B664" i="15"/>
  <c r="C664" i="15"/>
  <c r="D664" i="15"/>
  <c r="E664" i="15"/>
  <c r="F664" i="15"/>
  <c r="G664" i="15"/>
  <c r="H664" i="15"/>
  <c r="I664" i="15"/>
  <c r="J664" i="15"/>
  <c r="K664" i="15"/>
  <c r="L664" i="15"/>
  <c r="M664" i="15"/>
  <c r="N664" i="15"/>
  <c r="O664" i="15"/>
  <c r="A665" i="15"/>
  <c r="B665" i="15"/>
  <c r="C665" i="15"/>
  <c r="D665" i="15"/>
  <c r="E665" i="15"/>
  <c r="F665" i="15"/>
  <c r="G665" i="15"/>
  <c r="H665" i="15"/>
  <c r="I665" i="15"/>
  <c r="J665" i="15"/>
  <c r="K665" i="15"/>
  <c r="L665" i="15"/>
  <c r="M665" i="15"/>
  <c r="N665" i="15"/>
  <c r="O665" i="15"/>
  <c r="A666" i="15"/>
  <c r="B666" i="15"/>
  <c r="C666" i="15"/>
  <c r="D666" i="15"/>
  <c r="E666" i="15"/>
  <c r="F666" i="15"/>
  <c r="G666" i="15"/>
  <c r="H666" i="15"/>
  <c r="I666" i="15"/>
  <c r="J666" i="15"/>
  <c r="K666" i="15"/>
  <c r="L666" i="15"/>
  <c r="M666" i="15"/>
  <c r="N666" i="15"/>
  <c r="O666" i="15"/>
  <c r="A667" i="15"/>
  <c r="B667" i="15"/>
  <c r="C667" i="15"/>
  <c r="D667" i="15"/>
  <c r="E667" i="15"/>
  <c r="F667" i="15"/>
  <c r="G667" i="15"/>
  <c r="H667" i="15"/>
  <c r="I667" i="15"/>
  <c r="J667" i="15"/>
  <c r="K667" i="15"/>
  <c r="L667" i="15"/>
  <c r="M667" i="15"/>
  <c r="N667" i="15"/>
  <c r="O667" i="15"/>
  <c r="A668" i="15"/>
  <c r="B668" i="15"/>
  <c r="C668" i="15"/>
  <c r="D668" i="15"/>
  <c r="E668" i="15"/>
  <c r="F668" i="15"/>
  <c r="G668" i="15"/>
  <c r="H668" i="15"/>
  <c r="I668" i="15"/>
  <c r="J668" i="15"/>
  <c r="K668" i="15"/>
  <c r="L668" i="15"/>
  <c r="M668" i="15"/>
  <c r="N668" i="15"/>
  <c r="O668" i="15"/>
  <c r="A669" i="15"/>
  <c r="B669" i="15"/>
  <c r="C669" i="15"/>
  <c r="D669" i="15"/>
  <c r="E669" i="15"/>
  <c r="F669" i="15"/>
  <c r="G669" i="15"/>
  <c r="H669" i="15"/>
  <c r="I669" i="15"/>
  <c r="J669" i="15"/>
  <c r="K669" i="15"/>
  <c r="L669" i="15"/>
  <c r="M669" i="15"/>
  <c r="N669" i="15"/>
  <c r="O669" i="15"/>
  <c r="A670" i="15"/>
  <c r="B670" i="15"/>
  <c r="C670" i="15"/>
  <c r="D670" i="15"/>
  <c r="E670" i="15"/>
  <c r="F670" i="15"/>
  <c r="G670" i="15"/>
  <c r="H670" i="15"/>
  <c r="I670" i="15"/>
  <c r="J670" i="15"/>
  <c r="K670" i="15"/>
  <c r="L670" i="15"/>
  <c r="M670" i="15"/>
  <c r="N670" i="15"/>
  <c r="O670" i="15"/>
  <c r="A671" i="15"/>
  <c r="B671" i="15"/>
  <c r="C671" i="15"/>
  <c r="D671" i="15"/>
  <c r="E671" i="15"/>
  <c r="F671" i="15"/>
  <c r="G671" i="15"/>
  <c r="H671" i="15"/>
  <c r="I671" i="15"/>
  <c r="J671" i="15"/>
  <c r="K671" i="15"/>
  <c r="L671" i="15"/>
  <c r="M671" i="15"/>
  <c r="N671" i="15"/>
  <c r="O671" i="15"/>
  <c r="A672" i="15"/>
  <c r="B672" i="15"/>
  <c r="C672" i="15"/>
  <c r="D672" i="15"/>
  <c r="E672" i="15"/>
  <c r="F672" i="15"/>
  <c r="G672" i="15"/>
  <c r="H672" i="15"/>
  <c r="I672" i="15"/>
  <c r="J672" i="15"/>
  <c r="K672" i="15"/>
  <c r="L672" i="15"/>
  <c r="M672" i="15"/>
  <c r="N672" i="15"/>
  <c r="O672" i="15"/>
  <c r="A673" i="15"/>
  <c r="B673" i="15"/>
  <c r="C673" i="15"/>
  <c r="D673" i="15"/>
  <c r="E673" i="15"/>
  <c r="F673" i="15"/>
  <c r="G673" i="15"/>
  <c r="H673" i="15"/>
  <c r="I673" i="15"/>
  <c r="J673" i="15"/>
  <c r="K673" i="15"/>
  <c r="L673" i="15"/>
  <c r="M673" i="15"/>
  <c r="N673" i="15"/>
  <c r="O673" i="15"/>
  <c r="A674" i="15"/>
  <c r="B674" i="15"/>
  <c r="C674" i="15"/>
  <c r="D674" i="15"/>
  <c r="E674" i="15"/>
  <c r="F674" i="15"/>
  <c r="G674" i="15"/>
  <c r="H674" i="15"/>
  <c r="I674" i="15"/>
  <c r="J674" i="15"/>
  <c r="K674" i="15"/>
  <c r="L674" i="15"/>
  <c r="M674" i="15"/>
  <c r="N674" i="15"/>
  <c r="O674" i="15"/>
  <c r="A675" i="15"/>
  <c r="B675" i="15"/>
  <c r="C675" i="15"/>
  <c r="D675" i="15"/>
  <c r="E675" i="15"/>
  <c r="F675" i="15"/>
  <c r="G675" i="15"/>
  <c r="H675" i="15"/>
  <c r="I675" i="15"/>
  <c r="J675" i="15"/>
  <c r="K675" i="15"/>
  <c r="L675" i="15"/>
  <c r="M675" i="15"/>
  <c r="N675" i="15"/>
  <c r="O675" i="15"/>
  <c r="A676" i="15"/>
  <c r="B676" i="15"/>
  <c r="C676" i="15"/>
  <c r="D676" i="15"/>
  <c r="E676" i="15"/>
  <c r="F676" i="15"/>
  <c r="G676" i="15"/>
  <c r="H676" i="15"/>
  <c r="I676" i="15"/>
  <c r="J676" i="15"/>
  <c r="K676" i="15"/>
  <c r="L676" i="15"/>
  <c r="M676" i="15"/>
  <c r="N676" i="15"/>
  <c r="O676" i="15"/>
  <c r="A677" i="15"/>
  <c r="B677" i="15"/>
  <c r="C677" i="15"/>
  <c r="D677" i="15"/>
  <c r="E677" i="15"/>
  <c r="F677" i="15"/>
  <c r="G677" i="15"/>
  <c r="H677" i="15"/>
  <c r="I677" i="15"/>
  <c r="J677" i="15"/>
  <c r="K677" i="15"/>
  <c r="L677" i="15"/>
  <c r="M677" i="15"/>
  <c r="N677" i="15"/>
  <c r="O677" i="15"/>
  <c r="A678" i="15"/>
  <c r="B678" i="15"/>
  <c r="C678" i="15"/>
  <c r="D678" i="15"/>
  <c r="E678" i="15"/>
  <c r="F678" i="15"/>
  <c r="G678" i="15"/>
  <c r="H678" i="15"/>
  <c r="I678" i="15"/>
  <c r="J678" i="15"/>
  <c r="K678" i="15"/>
  <c r="L678" i="15"/>
  <c r="M678" i="15"/>
  <c r="N678" i="15"/>
  <c r="O678" i="15"/>
  <c r="A679" i="15"/>
  <c r="B679" i="15"/>
  <c r="C679" i="15"/>
  <c r="D679" i="15"/>
  <c r="E679" i="15"/>
  <c r="F679" i="15"/>
  <c r="G679" i="15"/>
  <c r="H679" i="15"/>
  <c r="I679" i="15"/>
  <c r="J679" i="15"/>
  <c r="K679" i="15"/>
  <c r="L679" i="15"/>
  <c r="M679" i="15"/>
  <c r="N679" i="15"/>
  <c r="O679" i="15"/>
  <c r="A680" i="15"/>
  <c r="B680" i="15"/>
  <c r="C680" i="15"/>
  <c r="D680" i="15"/>
  <c r="E680" i="15"/>
  <c r="F680" i="15"/>
  <c r="G680" i="15"/>
  <c r="H680" i="15"/>
  <c r="I680" i="15"/>
  <c r="J680" i="15"/>
  <c r="K680" i="15"/>
  <c r="L680" i="15"/>
  <c r="M680" i="15"/>
  <c r="N680" i="15"/>
  <c r="O680" i="15"/>
  <c r="A681" i="15"/>
  <c r="B681" i="15"/>
  <c r="C681" i="15"/>
  <c r="D681" i="15"/>
  <c r="E681" i="15"/>
  <c r="F681" i="15"/>
  <c r="G681" i="15"/>
  <c r="H681" i="15"/>
  <c r="I681" i="15"/>
  <c r="J681" i="15"/>
  <c r="K681" i="15"/>
  <c r="L681" i="15"/>
  <c r="M681" i="15"/>
  <c r="N681" i="15"/>
  <c r="O681" i="15"/>
  <c r="A682" i="15"/>
  <c r="B682" i="15"/>
  <c r="C682" i="15"/>
  <c r="D682" i="15"/>
  <c r="E682" i="15"/>
  <c r="F682" i="15"/>
  <c r="G682" i="15"/>
  <c r="H682" i="15"/>
  <c r="I682" i="15"/>
  <c r="J682" i="15"/>
  <c r="K682" i="15"/>
  <c r="L682" i="15"/>
  <c r="M682" i="15"/>
  <c r="N682" i="15"/>
  <c r="O682" i="15"/>
  <c r="A683" i="15"/>
  <c r="B683" i="15"/>
  <c r="C683" i="15"/>
  <c r="D683" i="15"/>
  <c r="E683" i="15"/>
  <c r="F683" i="15"/>
  <c r="G683" i="15"/>
  <c r="H683" i="15"/>
  <c r="I683" i="15"/>
  <c r="J683" i="15"/>
  <c r="K683" i="15"/>
  <c r="L683" i="15"/>
  <c r="M683" i="15"/>
  <c r="N683" i="15"/>
  <c r="O683" i="15"/>
  <c r="A684" i="15"/>
  <c r="B684" i="15"/>
  <c r="C684" i="15"/>
  <c r="D684" i="15"/>
  <c r="E684" i="15"/>
  <c r="F684" i="15"/>
  <c r="G684" i="15"/>
  <c r="H684" i="15"/>
  <c r="I684" i="15"/>
  <c r="J684" i="15"/>
  <c r="K684" i="15"/>
  <c r="L684" i="15"/>
  <c r="M684" i="15"/>
  <c r="N684" i="15"/>
  <c r="O684" i="15"/>
  <c r="A685" i="15"/>
  <c r="B685" i="15"/>
  <c r="C685" i="15"/>
  <c r="D685" i="15"/>
  <c r="E685" i="15"/>
  <c r="F685" i="15"/>
  <c r="G685" i="15"/>
  <c r="H685" i="15"/>
  <c r="I685" i="15"/>
  <c r="J685" i="15"/>
  <c r="K685" i="15"/>
  <c r="L685" i="15"/>
  <c r="M685" i="15"/>
  <c r="N685" i="15"/>
  <c r="O685" i="15"/>
  <c r="A686" i="15"/>
  <c r="B686" i="15"/>
  <c r="C686" i="15"/>
  <c r="D686" i="15"/>
  <c r="E686" i="15"/>
  <c r="F686" i="15"/>
  <c r="G686" i="15"/>
  <c r="H686" i="15"/>
  <c r="I686" i="15"/>
  <c r="J686" i="15"/>
  <c r="K686" i="15"/>
  <c r="L686" i="15"/>
  <c r="M686" i="15"/>
  <c r="N686" i="15"/>
  <c r="O686" i="15"/>
  <c r="B2" i="15"/>
  <c r="C2" i="15"/>
  <c r="D2" i="15"/>
  <c r="E2" i="15"/>
  <c r="F2" i="15"/>
  <c r="G2" i="15"/>
  <c r="H2" i="15"/>
  <c r="J2" i="15"/>
  <c r="K2" i="15"/>
  <c r="L2" i="15"/>
  <c r="M2" i="15"/>
  <c r="N2" i="15"/>
  <c r="A2" i="15"/>
  <c r="A2" i="12"/>
  <c r="A3" i="11"/>
  <c r="B3" i="11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C15" i="11"/>
  <c r="B2" i="11"/>
  <c r="A2" i="11"/>
  <c r="C3" i="10"/>
  <c r="C3" i="11" s="1"/>
  <c r="C4" i="10"/>
  <c r="C4" i="11" s="1"/>
  <c r="C5" i="10"/>
  <c r="C5" i="11" s="1"/>
  <c r="C6" i="10"/>
  <c r="C6" i="11" s="1"/>
  <c r="C7" i="10"/>
  <c r="C7" i="11" s="1"/>
  <c r="C8" i="10"/>
  <c r="C8" i="11" s="1"/>
  <c r="C9" i="10"/>
  <c r="C9" i="11" s="1"/>
  <c r="C10" i="10"/>
  <c r="C10" i="11" s="1"/>
  <c r="C11" i="10"/>
  <c r="C11" i="11" s="1"/>
  <c r="C12" i="10"/>
  <c r="C12" i="11" s="1"/>
  <c r="C13" i="10"/>
  <c r="C13" i="11" s="1"/>
  <c r="C14" i="10"/>
  <c r="C14" i="11" s="1"/>
  <c r="C2" i="10"/>
  <c r="C2" i="11" s="1"/>
  <c r="I41" i="1" a="1"/>
  <c r="I41" i="1" s="1"/>
  <c r="O41" i="1" s="1"/>
  <c r="O41" i="15" s="1"/>
  <c r="I42" i="1" a="1"/>
  <c r="I42" i="1" s="1"/>
  <c r="O42" i="1" s="1"/>
  <c r="O42" i="15" s="1"/>
  <c r="I43" i="1" a="1"/>
  <c r="I43" i="1" s="1"/>
  <c r="O43" i="1" s="1"/>
  <c r="O43" i="15" s="1"/>
  <c r="I75" i="1" a="1"/>
  <c r="I75" i="1" s="1"/>
  <c r="I52" i="15" s="1"/>
  <c r="I51" i="1" a="1"/>
  <c r="I51" i="1" s="1"/>
  <c r="I51" i="15" s="1"/>
  <c r="I50" i="1" a="1"/>
  <c r="I50" i="1" s="1"/>
  <c r="I50" i="15" s="1"/>
  <c r="I49" i="1" a="1"/>
  <c r="I49" i="1" s="1"/>
  <c r="I49" i="15" s="1"/>
  <c r="I48" i="1" a="1"/>
  <c r="I48" i="1" s="1"/>
  <c r="I48" i="15" s="1"/>
  <c r="I47" i="1" a="1"/>
  <c r="I47" i="1" s="1"/>
  <c r="I47" i="15" s="1"/>
  <c r="I46" i="1" a="1"/>
  <c r="I46" i="1" s="1"/>
  <c r="I46" i="15" s="1"/>
  <c r="I45" i="1" a="1"/>
  <c r="I45" i="1" s="1"/>
  <c r="I45" i="15" s="1"/>
  <c r="I68" i="1" a="1"/>
  <c r="I68" i="1" s="1"/>
  <c r="I69" i="1" a="1"/>
  <c r="I69" i="1" s="1"/>
  <c r="I71" i="15"/>
  <c r="I71" i="1" a="1"/>
  <c r="I71" i="1" s="1"/>
  <c r="I72" i="1" a="1"/>
  <c r="I72" i="1" s="1"/>
  <c r="I73" i="1" a="1"/>
  <c r="I73" i="1" s="1"/>
  <c r="I74" i="1" a="1"/>
  <c r="I74" i="1" s="1"/>
  <c r="I76" i="15"/>
  <c r="I77" i="15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44" i="1" a="1"/>
  <c r="I44" i="1" s="1"/>
  <c r="I44" i="15" s="1"/>
  <c r="I97" i="15" l="1"/>
  <c r="O95" i="1"/>
  <c r="O97" i="15" s="1"/>
  <c r="I95" i="15"/>
  <c r="O93" i="1"/>
  <c r="O95" i="15" s="1"/>
  <c r="I94" i="15"/>
  <c r="O92" i="1"/>
  <c r="O94" i="15" s="1"/>
  <c r="I101" i="15"/>
  <c r="O99" i="1"/>
  <c r="O101" i="15" s="1"/>
  <c r="I93" i="15"/>
  <c r="O91" i="1"/>
  <c r="O93" i="15" s="1"/>
  <c r="I100" i="15"/>
  <c r="O98" i="1"/>
  <c r="O100" i="15" s="1"/>
  <c r="I92" i="15"/>
  <c r="O90" i="1"/>
  <c r="O92" i="15" s="1"/>
  <c r="I91" i="15"/>
  <c r="O89" i="1"/>
  <c r="O91" i="15" s="1"/>
  <c r="I98" i="15"/>
  <c r="O96" i="1"/>
  <c r="O98" i="15" s="1"/>
  <c r="I90" i="15"/>
  <c r="O88" i="1"/>
  <c r="O90" i="15" s="1"/>
  <c r="I89" i="15"/>
  <c r="O87" i="1"/>
  <c r="O89" i="15" s="1"/>
  <c r="I99" i="15"/>
  <c r="O97" i="1"/>
  <c r="O99" i="15" s="1"/>
  <c r="I96" i="15"/>
  <c r="O94" i="1"/>
  <c r="O96" i="15" s="1"/>
  <c r="I87" i="15"/>
  <c r="O85" i="1"/>
  <c r="O87" i="15" s="1"/>
  <c r="I88" i="15"/>
  <c r="O86" i="1"/>
  <c r="O88" i="15" s="1"/>
  <c r="I86" i="15"/>
  <c r="O84" i="1"/>
  <c r="O86" i="15" s="1"/>
  <c r="I85" i="15"/>
  <c r="O83" i="1"/>
  <c r="O85" i="15" s="1"/>
  <c r="I84" i="15"/>
  <c r="O82" i="1"/>
  <c r="O84" i="15" s="1"/>
  <c r="I82" i="15"/>
  <c r="O80" i="1"/>
  <c r="O82" i="15" s="1"/>
  <c r="I80" i="15"/>
  <c r="O78" i="1"/>
  <c r="O80" i="15" s="1"/>
  <c r="I83" i="15"/>
  <c r="O81" i="1"/>
  <c r="O83" i="15" s="1"/>
  <c r="I81" i="15"/>
  <c r="O79" i="1"/>
  <c r="O81" i="15" s="1"/>
  <c r="I79" i="15"/>
  <c r="O77" i="1"/>
  <c r="O79" i="15" s="1"/>
  <c r="I78" i="15"/>
  <c r="O76" i="1"/>
  <c r="O78" i="15" s="1"/>
  <c r="I72" i="15"/>
  <c r="O71" i="1"/>
  <c r="O72" i="15" s="1"/>
  <c r="I75" i="15"/>
  <c r="O74" i="1"/>
  <c r="O75" i="15" s="1"/>
  <c r="I74" i="15"/>
  <c r="O73" i="1"/>
  <c r="O74" i="15" s="1"/>
  <c r="I73" i="15"/>
  <c r="O72" i="1"/>
  <c r="O73" i="15" s="1"/>
  <c r="I41" i="15"/>
  <c r="I69" i="15"/>
  <c r="O68" i="1"/>
  <c r="O69" i="15" s="1"/>
  <c r="I42" i="15"/>
  <c r="I70" i="15"/>
  <c r="O69" i="1"/>
  <c r="O70" i="15" s="1"/>
  <c r="I43" i="15"/>
  <c r="O44" i="1"/>
  <c r="O44" i="15" s="1"/>
  <c r="O45" i="1"/>
  <c r="O45" i="15" s="1"/>
  <c r="O46" i="1"/>
  <c r="O46" i="15" s="1"/>
  <c r="O47" i="1"/>
  <c r="O47" i="15" s="1"/>
  <c r="O48" i="1"/>
  <c r="O48" i="15" s="1"/>
  <c r="O49" i="1"/>
  <c r="O49" i="15" s="1"/>
  <c r="O50" i="1"/>
  <c r="O50" i="15" s="1"/>
  <c r="O51" i="1"/>
  <c r="O51" i="15" s="1"/>
  <c r="O75" i="1"/>
  <c r="O52" i="15" s="1"/>
  <c r="B2" i="12"/>
  <c r="C2" i="12"/>
  <c r="A3" i="12"/>
  <c r="B3" i="12"/>
  <c r="C3" i="12"/>
  <c r="A4" i="12"/>
  <c r="B4" i="12"/>
  <c r="C4" i="12"/>
  <c r="A5" i="12"/>
  <c r="B5" i="12"/>
  <c r="C5" i="12"/>
  <c r="A6" i="12"/>
  <c r="B6" i="12"/>
  <c r="C6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12" i="12"/>
  <c r="B12" i="12"/>
  <c r="C12" i="12"/>
  <c r="A13" i="12"/>
  <c r="B13" i="12"/>
  <c r="C13" i="12"/>
  <c r="A14" i="12"/>
  <c r="B14" i="12"/>
  <c r="C14" i="12"/>
  <c r="A15" i="12"/>
  <c r="B15" i="12"/>
  <c r="C15" i="12"/>
  <c r="A16" i="12"/>
  <c r="B16" i="12"/>
  <c r="C16" i="12"/>
  <c r="A17" i="12"/>
  <c r="B17" i="12"/>
  <c r="C17" i="12"/>
  <c r="A18" i="12"/>
  <c r="B18" i="12"/>
  <c r="C18" i="12"/>
  <c r="A19" i="12"/>
  <c r="B19" i="12"/>
  <c r="C19" i="12"/>
  <c r="A20" i="12"/>
  <c r="B20" i="12"/>
  <c r="C20" i="12"/>
  <c r="A21" i="12"/>
  <c r="B21" i="12"/>
  <c r="C21" i="12"/>
  <c r="I39" i="1" a="1"/>
  <c r="I39" i="1" s="1"/>
  <c r="O39" i="1" l="1"/>
  <c r="O39" i="15" s="1"/>
  <c r="I39" i="15"/>
  <c r="I3" i="1" l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40" i="1" a="1"/>
  <c r="I40" i="1" s="1"/>
  <c r="H2" i="3" a="1"/>
  <c r="H2" i="3" s="1"/>
  <c r="I2" i="1" a="1"/>
  <c r="I2" i="1" s="1"/>
  <c r="G3" i="3" a="1"/>
  <c r="G3" i="3" s="1"/>
  <c r="G4" i="3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" i="3" a="1"/>
  <c r="G2" i="3" s="1"/>
  <c r="O34" i="1" l="1"/>
  <c r="O34" i="15" s="1"/>
  <c r="I34" i="15"/>
  <c r="O2" i="1"/>
  <c r="O2" i="15" s="1"/>
  <c r="I2" i="15"/>
  <c r="O33" i="1"/>
  <c r="O33" i="15" s="1"/>
  <c r="I33" i="15"/>
  <c r="O25" i="1"/>
  <c r="O25" i="15" s="1"/>
  <c r="I25" i="15"/>
  <c r="O17" i="1"/>
  <c r="O17" i="15" s="1"/>
  <c r="I17" i="15"/>
  <c r="O9" i="1"/>
  <c r="O9" i="15" s="1"/>
  <c r="I9" i="15"/>
  <c r="O10" i="1"/>
  <c r="O10" i="15" s="1"/>
  <c r="I10" i="15"/>
  <c r="O32" i="1"/>
  <c r="O32" i="15" s="1"/>
  <c r="I32" i="15"/>
  <c r="O24" i="1"/>
  <c r="O24" i="15" s="1"/>
  <c r="I24" i="15"/>
  <c r="O16" i="1"/>
  <c r="O16" i="15" s="1"/>
  <c r="I16" i="15"/>
  <c r="O8" i="1"/>
  <c r="O8" i="15" s="1"/>
  <c r="I8" i="15"/>
  <c r="O40" i="1"/>
  <c r="O40" i="15" s="1"/>
  <c r="I40" i="15"/>
  <c r="O31" i="1"/>
  <c r="O31" i="15" s="1"/>
  <c r="I31" i="15"/>
  <c r="O23" i="1"/>
  <c r="O23" i="15" s="1"/>
  <c r="I23" i="15"/>
  <c r="O15" i="1"/>
  <c r="O15" i="15" s="1"/>
  <c r="I15" i="15"/>
  <c r="O7" i="1"/>
  <c r="O7" i="15" s="1"/>
  <c r="I7" i="15"/>
  <c r="O26" i="1"/>
  <c r="O26" i="15" s="1"/>
  <c r="I26" i="15"/>
  <c r="O38" i="1"/>
  <c r="O38" i="15" s="1"/>
  <c r="I38" i="15"/>
  <c r="O30" i="1"/>
  <c r="O30" i="15" s="1"/>
  <c r="I30" i="15"/>
  <c r="O22" i="1"/>
  <c r="O22" i="15" s="1"/>
  <c r="I22" i="15"/>
  <c r="O14" i="1"/>
  <c r="O14" i="15" s="1"/>
  <c r="I14" i="15"/>
  <c r="O6" i="1"/>
  <c r="O6" i="15" s="1"/>
  <c r="I6" i="15"/>
  <c r="O37" i="1"/>
  <c r="O37" i="15" s="1"/>
  <c r="I37" i="15"/>
  <c r="O29" i="1"/>
  <c r="O29" i="15" s="1"/>
  <c r="I29" i="15"/>
  <c r="O21" i="1"/>
  <c r="O21" i="15" s="1"/>
  <c r="I21" i="15"/>
  <c r="O13" i="1"/>
  <c r="O13" i="15" s="1"/>
  <c r="I13" i="15"/>
  <c r="O5" i="1"/>
  <c r="O5" i="15" s="1"/>
  <c r="I5" i="15"/>
  <c r="O36" i="1"/>
  <c r="O36" i="15" s="1"/>
  <c r="I36" i="15"/>
  <c r="O28" i="1"/>
  <c r="O28" i="15" s="1"/>
  <c r="I28" i="15"/>
  <c r="O20" i="1"/>
  <c r="O20" i="15" s="1"/>
  <c r="I20" i="15"/>
  <c r="O12" i="1"/>
  <c r="O12" i="15" s="1"/>
  <c r="I12" i="15"/>
  <c r="O4" i="1"/>
  <c r="O4" i="15" s="1"/>
  <c r="I4" i="15"/>
  <c r="O18" i="1"/>
  <c r="O18" i="15" s="1"/>
  <c r="I18" i="15"/>
  <c r="O35" i="1"/>
  <c r="O35" i="15" s="1"/>
  <c r="I35" i="15"/>
  <c r="O27" i="1"/>
  <c r="O27" i="15" s="1"/>
  <c r="I27" i="15"/>
  <c r="O19" i="1"/>
  <c r="O19" i="15" s="1"/>
  <c r="I19" i="15"/>
  <c r="O11" i="1"/>
  <c r="O11" i="15" s="1"/>
  <c r="I11" i="15"/>
  <c r="O3" i="1"/>
  <c r="O3" i="15" s="1"/>
  <c r="I3" i="15"/>
  <c r="D22" i="9" l="1"/>
  <c r="D11" i="9"/>
  <c r="D11" i="12" s="1"/>
  <c r="D23" i="9"/>
  <c r="D41" i="9"/>
  <c r="D21" i="9"/>
  <c r="D21" i="12" s="1"/>
  <c r="D43" i="9"/>
  <c r="D44" i="9"/>
  <c r="D39" i="9"/>
  <c r="D33" i="9"/>
  <c r="D7" i="9"/>
  <c r="D7" i="12" s="1"/>
  <c r="D31" i="9"/>
  <c r="D2" i="9"/>
  <c r="D2" i="12" s="1"/>
  <c r="D28" i="9"/>
  <c r="D20" i="9"/>
  <c r="D20" i="12" s="1"/>
  <c r="D9" i="9"/>
  <c r="D9" i="12" s="1"/>
  <c r="D6" i="9"/>
  <c r="D6" i="12" s="1"/>
  <c r="D16" i="9"/>
  <c r="D16" i="12" s="1"/>
  <c r="D30" i="9"/>
  <c r="D15" i="9"/>
  <c r="D15" i="12" s="1"/>
  <c r="D24" i="9"/>
  <c r="D40" i="9"/>
  <c r="D12" i="9"/>
  <c r="D12" i="12" s="1"/>
  <c r="D37" i="9"/>
  <c r="D42" i="9"/>
  <c r="D32" i="9"/>
  <c r="D18" i="9"/>
  <c r="D18" i="12" s="1"/>
  <c r="D35" i="9"/>
  <c r="D4" i="9"/>
  <c r="D4" i="12" s="1"/>
  <c r="D27" i="9"/>
  <c r="D36" i="9"/>
  <c r="D25" i="9"/>
  <c r="D10" i="9"/>
  <c r="D10" i="12" s="1"/>
  <c r="D34" i="9"/>
  <c r="D13" i="9"/>
  <c r="D13" i="12" s="1"/>
  <c r="D3" i="9"/>
  <c r="D3" i="12" s="1"/>
  <c r="D14" i="9"/>
  <c r="D14" i="12" s="1"/>
  <c r="D38" i="9"/>
  <c r="D26" i="9"/>
  <c r="D19" i="9"/>
  <c r="D19" i="12" s="1"/>
  <c r="D5" i="9"/>
  <c r="D5" i="12" s="1"/>
  <c r="D17" i="9"/>
  <c r="D17" i="12" s="1"/>
  <c r="D8" i="9"/>
  <c r="D8" i="12" s="1"/>
  <c r="D29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<sst xmlns="http://schemas.openxmlformats.org/spreadsheetml/2006/main" count="4822" uniqueCount="1835">
  <si>
    <t>总装科</t>
    <phoneticPr fontId="1" type="noConversion"/>
  </si>
  <si>
    <t>工业工程科</t>
    <phoneticPr fontId="1" type="noConversion"/>
  </si>
  <si>
    <t>品质保证科</t>
    <phoneticPr fontId="1" type="noConversion"/>
  </si>
  <si>
    <t>设备动力科</t>
    <phoneticPr fontId="1" type="noConversion"/>
  </si>
  <si>
    <t>技术科</t>
    <phoneticPr fontId="1" type="noConversion"/>
  </si>
  <si>
    <t>生产管理科</t>
    <phoneticPr fontId="1" type="noConversion"/>
  </si>
  <si>
    <t>人事总务科</t>
    <phoneticPr fontId="1" type="noConversion"/>
  </si>
  <si>
    <t>安技环保科</t>
    <phoneticPr fontId="1" type="noConversion"/>
  </si>
  <si>
    <t>党群工作室</t>
    <phoneticPr fontId="1" type="noConversion"/>
  </si>
  <si>
    <t>序号</t>
    <phoneticPr fontId="1" type="noConversion"/>
  </si>
  <si>
    <t>时间</t>
    <phoneticPr fontId="1" type="noConversion"/>
  </si>
  <si>
    <t>科室</t>
    <phoneticPr fontId="1" type="noConversion"/>
  </si>
  <si>
    <t>加分项目</t>
  </si>
  <si>
    <t>加分值</t>
  </si>
  <si>
    <t>发明专利+4</t>
  </si>
  <si>
    <t>实用新型+3</t>
  </si>
  <si>
    <t>外观设计+2</t>
  </si>
  <si>
    <t>一等奖</t>
  </si>
  <si>
    <t>二等奖</t>
  </si>
  <si>
    <t>三等奖</t>
  </si>
  <si>
    <t>重要课题+2</t>
  </si>
  <si>
    <t>普通课题+1</t>
  </si>
  <si>
    <t>获奖途径</t>
    <phoneticPr fontId="1" type="noConversion"/>
  </si>
  <si>
    <t>外部获奖</t>
    <phoneticPr fontId="1" type="noConversion"/>
  </si>
  <si>
    <t>内部获奖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</si>
  <si>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</si>
  <si>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</si>
  <si>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</si>
  <si>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奖项名称</t>
    <phoneticPr fontId="1" type="noConversion"/>
  </si>
  <si>
    <t>是</t>
  </si>
  <si>
    <t>综合奖项</t>
    <phoneticPr fontId="1" type="noConversion"/>
  </si>
  <si>
    <t>全球级/联盟级奖项</t>
    <phoneticPr fontId="1" type="noConversion"/>
  </si>
  <si>
    <t>所获奖项分类</t>
    <phoneticPr fontId="1" type="noConversion"/>
  </si>
  <si>
    <t>所获奖项级别</t>
    <phoneticPr fontId="1" type="noConversion"/>
  </si>
  <si>
    <t>分数</t>
    <phoneticPr fontId="1" type="noConversion"/>
  </si>
  <si>
    <t>全国级/DFG级奖项</t>
    <phoneticPr fontId="1" type="noConversion"/>
  </si>
  <si>
    <t>区域级/省级奖项</t>
    <phoneticPr fontId="1" type="noConversion"/>
  </si>
  <si>
    <t>DFN级/市级奖项</t>
    <phoneticPr fontId="1" type="noConversion"/>
  </si>
  <si>
    <t>国家专利受理</t>
    <phoneticPr fontId="1" type="noConversion"/>
  </si>
  <si>
    <t>发明专利</t>
    <phoneticPr fontId="1" type="noConversion"/>
  </si>
  <si>
    <t>实用新型</t>
    <phoneticPr fontId="1" type="noConversion"/>
  </si>
  <si>
    <t>外观设计</t>
    <phoneticPr fontId="1" type="noConversion"/>
  </si>
  <si>
    <t>工厂级QC发表获奖</t>
    <phoneticPr fontId="1" type="noConversion"/>
  </si>
  <si>
    <t>改善功夫发表获奖</t>
    <phoneticPr fontId="1" type="noConversion"/>
  </si>
  <si>
    <t>创享慧提案被外部门采纳</t>
    <phoneticPr fontId="1" type="noConversion"/>
  </si>
  <si>
    <t>Top摘牌课题完成</t>
    <phoneticPr fontId="1" type="noConversion"/>
  </si>
  <si>
    <t>数字化课题完成</t>
    <phoneticPr fontId="1" type="noConversion"/>
  </si>
  <si>
    <t>普通课题</t>
    <phoneticPr fontId="1" type="noConversion"/>
  </si>
  <si>
    <t>否</t>
  </si>
  <si>
    <t>获奖人姓名</t>
    <phoneticPr fontId="1" type="noConversion"/>
  </si>
  <si>
    <t>获奖人工号</t>
    <phoneticPr fontId="1" type="noConversion"/>
  </si>
  <si>
    <t>(空白)</t>
  </si>
  <si>
    <t>品质保证科</t>
  </si>
  <si>
    <t>内部获奖</t>
  </si>
  <si>
    <t>工厂级QC发表获奖</t>
  </si>
  <si>
    <t>设备动力科</t>
  </si>
  <si>
    <t>鲁家嫡</t>
  </si>
  <si>
    <t>于文书</t>
  </si>
  <si>
    <t>赵晓明</t>
  </si>
  <si>
    <t>祝益盛</t>
  </si>
  <si>
    <t>王洋</t>
  </si>
  <si>
    <t>迟健鹏</t>
  </si>
  <si>
    <t>时守毅</t>
  </si>
  <si>
    <t>宋畅</t>
  </si>
  <si>
    <t>杨康</t>
  </si>
  <si>
    <t>王瑞林</t>
  </si>
  <si>
    <t>师铮</t>
  </si>
  <si>
    <t>唐小光</t>
  </si>
  <si>
    <t>于勇</t>
  </si>
  <si>
    <t>田晓明</t>
  </si>
  <si>
    <t>王晓冬</t>
  </si>
  <si>
    <t>李涛</t>
  </si>
  <si>
    <t>王冠</t>
  </si>
  <si>
    <t>刘建勋</t>
  </si>
  <si>
    <t>刘敬彬</t>
  </si>
  <si>
    <t>于洪军</t>
  </si>
  <si>
    <t>张洪宇</t>
  </si>
  <si>
    <t>于慧缘</t>
  </si>
  <si>
    <t>刘鹏</t>
  </si>
  <si>
    <t>李春扬</t>
  </si>
  <si>
    <t>邹晓霞</t>
  </si>
  <si>
    <t>纪圣洋</t>
  </si>
  <si>
    <t>李传钰</t>
  </si>
  <si>
    <t>邢若飞</t>
  </si>
  <si>
    <t>张程</t>
  </si>
  <si>
    <t>李闯</t>
  </si>
  <si>
    <t>生产管理科</t>
  </si>
  <si>
    <t>总装科</t>
  </si>
  <si>
    <t>工业工程科</t>
  </si>
  <si>
    <t>汲浩铭</t>
  </si>
  <si>
    <t>殷丞君</t>
  </si>
  <si>
    <t>纪舒沫</t>
  </si>
  <si>
    <t>科室</t>
  </si>
  <si>
    <t>姓名</t>
  </si>
  <si>
    <t>备注</t>
    <phoneticPr fontId="1" type="noConversion"/>
  </si>
  <si>
    <t>数字化发表会</t>
    <phoneticPr fontId="1" type="noConversion"/>
  </si>
  <si>
    <t>符合“首次”奖励</t>
    <phoneticPr fontId="1" type="noConversion"/>
  </si>
  <si>
    <t>占比计算</t>
    <phoneticPr fontId="1" type="noConversion"/>
  </si>
  <si>
    <t>总额</t>
    <phoneticPr fontId="1" type="noConversion"/>
  </si>
  <si>
    <t>终值</t>
    <phoneticPr fontId="1" type="noConversion"/>
  </si>
  <si>
    <t>总积分</t>
  </si>
  <si>
    <t>同课题总积分</t>
    <phoneticPr fontId="1" type="noConversion"/>
  </si>
  <si>
    <t>王瑞林</t>
    <phoneticPr fontId="1" type="noConversion"/>
  </si>
  <si>
    <t>外部获奖</t>
  </si>
  <si>
    <t>DFN级/市级奖项</t>
  </si>
  <si>
    <t>DFN数字化技能大赛</t>
    <phoneticPr fontId="1" type="noConversion"/>
  </si>
  <si>
    <t>乔传泉</t>
  </si>
  <si>
    <t>乔传泉</t>
    <phoneticPr fontId="1" type="noConversion"/>
  </si>
  <si>
    <t>2024年优秀质量体系重点课题</t>
    <phoneticPr fontId="1" type="noConversion"/>
  </si>
  <si>
    <t>安技环保科</t>
  </si>
  <si>
    <t>综合奖项</t>
  </si>
  <si>
    <t>2024年企业绿色低碳发展优秀案例</t>
    <phoneticPr fontId="1" type="noConversion"/>
  </si>
  <si>
    <t>谢天文</t>
  </si>
  <si>
    <t>谢天文</t>
    <phoneticPr fontId="1" type="noConversion"/>
  </si>
  <si>
    <t>排名</t>
    <phoneticPr fontId="1" type="noConversion"/>
  </si>
  <si>
    <t>首次主担数字化课题</t>
    <phoneticPr fontId="1" type="noConversion"/>
  </si>
  <si>
    <t>列1</t>
    <phoneticPr fontId="1" type="noConversion"/>
  </si>
  <si>
    <t>商品车是否订单车自动解析</t>
  </si>
  <si>
    <t>科室单台成本动态管控可视化</t>
  </si>
  <si>
    <t>计划与实际出勤每日对比分析</t>
  </si>
  <si>
    <t>昨日出勤差异解析自动提醒</t>
  </si>
  <si>
    <t>工时与考勤管理看板</t>
  </si>
  <si>
    <t>精益工厂看板</t>
  </si>
  <si>
    <t>冲压模具异常处理数字化看板</t>
  </si>
  <si>
    <t>时段生产实绩信息发布自动化</t>
  </si>
  <si>
    <t>DOA岗位异动报表自动下载且自动更新数据至报表</t>
  </si>
  <si>
    <t>吴广超</t>
  </si>
  <si>
    <t>柳菁</t>
  </si>
  <si>
    <t>宋伟</t>
  </si>
  <si>
    <t>纪明达</t>
  </si>
  <si>
    <t>冷洪来</t>
    <phoneticPr fontId="1" type="noConversion"/>
  </si>
  <si>
    <t>涂装科</t>
    <phoneticPr fontId="1" type="noConversion"/>
  </si>
  <si>
    <t>全国机械冶金建材行业职工技术创新成果</t>
  </si>
  <si>
    <t>全国机械冶金建材行业职工技术创新成果</t>
    <phoneticPr fontId="1" type="noConversion"/>
  </si>
  <si>
    <t>重要课题</t>
  </si>
  <si>
    <t>普通课题</t>
  </si>
  <si>
    <t>全国级/DFG级奖项</t>
  </si>
  <si>
    <t>宋伟</t>
    <phoneticPr fontId="1" type="noConversion"/>
  </si>
  <si>
    <t>丁友贺</t>
    <phoneticPr fontId="1" type="noConversion"/>
  </si>
  <si>
    <t>东风最佳实践课题获奖</t>
    <phoneticPr fontId="1" type="noConversion"/>
  </si>
  <si>
    <t>技术科</t>
  </si>
  <si>
    <t>丁友贺</t>
  </si>
  <si>
    <t>冷洪来</t>
  </si>
  <si>
    <t>马骥</t>
  </si>
  <si>
    <t>马骥</t>
    <phoneticPr fontId="1" type="noConversion"/>
  </si>
  <si>
    <t>姓名</t>
    <phoneticPr fontId="1" type="noConversion"/>
  </si>
  <si>
    <t>奖项</t>
    <phoneticPr fontId="1" type="noConversion"/>
  </si>
  <si>
    <t>分值</t>
    <phoneticPr fontId="1" type="noConversion"/>
  </si>
  <si>
    <t>商品车是否订单车自动解析</t>
    <phoneticPr fontId="1" type="noConversion"/>
  </si>
  <si>
    <t>数字化课题开发</t>
    <phoneticPr fontId="1" type="noConversion"/>
  </si>
  <si>
    <t>重点课题</t>
    <phoneticPr fontId="1" type="noConversion"/>
  </si>
  <si>
    <t>类别</t>
    <phoneticPr fontId="1" type="noConversion"/>
  </si>
  <si>
    <t>等级</t>
    <phoneticPr fontId="1" type="noConversion"/>
  </si>
  <si>
    <t>首次主担</t>
    <phoneticPr fontId="1" type="noConversion"/>
  </si>
  <si>
    <t>DOA离职报表自动下载且自动更新数据至报表</t>
  </si>
  <si>
    <t>DOA离职解除证明用章申请自动申请</t>
  </si>
  <si>
    <t>每周制造管理部人员异动数据邮件自动回复</t>
  </si>
  <si>
    <t>每月IE科《工厂长会议报告资料收集》邮件自动回复人力数据</t>
  </si>
  <si>
    <t>暂未发布</t>
    <phoneticPr fontId="1" type="noConversion"/>
  </si>
  <si>
    <t>工料废自动过账</t>
  </si>
  <si>
    <t>人工成本实绩统计</t>
  </si>
  <si>
    <t>张藜</t>
  </si>
  <si>
    <t>Name</t>
    <phoneticPr fontId="1" type="noConversion"/>
  </si>
  <si>
    <t>Section</t>
    <phoneticPr fontId="1" type="noConversion"/>
  </si>
  <si>
    <t>‌Total Score</t>
    <phoneticPr fontId="1" type="noConversion"/>
  </si>
  <si>
    <t>Rank</t>
    <phoneticPr fontId="1" type="noConversion"/>
  </si>
  <si>
    <t>Number</t>
    <phoneticPr fontId="1" type="noConversion"/>
  </si>
  <si>
    <t>Time</t>
    <phoneticPr fontId="1" type="noConversion"/>
  </si>
  <si>
    <t>Channel</t>
    <phoneticPr fontId="1" type="noConversion"/>
  </si>
  <si>
    <t>Category</t>
    <phoneticPr fontId="1" type="noConversion"/>
  </si>
  <si>
    <t>Level</t>
    <phoneticPr fontId="1" type="noConversion"/>
  </si>
  <si>
    <t>First-time</t>
    <phoneticPr fontId="1" type="noConversion"/>
  </si>
  <si>
    <t>Total Points</t>
    <phoneticPr fontId="1" type="noConversion"/>
  </si>
  <si>
    <t>Award Name</t>
    <phoneticPr fontId="1" type="noConversion"/>
  </si>
  <si>
    <t xml:space="preserve">Name	</t>
    <phoneticPr fontId="1" type="noConversion"/>
  </si>
  <si>
    <t>Employee ID</t>
    <phoneticPr fontId="1" type="noConversion"/>
  </si>
  <si>
    <t>Remarks</t>
    <phoneticPr fontId="1" type="noConversion"/>
  </si>
  <si>
    <t>Proportion Calculation</t>
    <phoneticPr fontId="1" type="noConversion"/>
  </si>
  <si>
    <t>Total Amount</t>
    <phoneticPr fontId="1" type="noConversion"/>
  </si>
  <si>
    <t>Final Value</t>
    <phoneticPr fontId="1" type="noConversion"/>
  </si>
  <si>
    <t>东风公司QC</t>
    <phoneticPr fontId="1" type="noConversion"/>
  </si>
  <si>
    <t>改善功夫发表获奖</t>
  </si>
  <si>
    <t>前处理脱脂产生含油废水递减改善</t>
  </si>
  <si>
    <t>鲍德宇</t>
  </si>
  <si>
    <t>Q/T/S专业级QC</t>
    <phoneticPr fontId="1" type="noConversion"/>
  </si>
  <si>
    <t>天车动作系统视觉监控系统改善</t>
  </si>
  <si>
    <t>谭帅</t>
  </si>
  <si>
    <t>零化AVM品质流出风险</t>
  </si>
  <si>
    <t>马长亮</t>
  </si>
  <si>
    <t>非生产时间段综合站房用电量递减</t>
  </si>
  <si>
    <t>曹洪志</t>
  </si>
  <si>
    <t>焊装科稼动率提升报告</t>
  </si>
  <si>
    <t>王琰</t>
  </si>
  <si>
    <t>P32S SASH流痕改善</t>
  </si>
  <si>
    <t>张奎</t>
  </si>
  <si>
    <t>零化P32S MC-R前档VIN码偏下</t>
  </si>
  <si>
    <t>孙浩</t>
  </si>
  <si>
    <t>树脂升降机人员挤压隐患零化</t>
  </si>
  <si>
    <t>隋君</t>
  </si>
  <si>
    <t>递减无价值垃圾量</t>
  </si>
  <si>
    <t>递减擦净除油作业影的喷涂DPHU</t>
  </si>
  <si>
    <t>康明聪</t>
  </si>
  <si>
    <t>递减P32S车型机盖胶泡不良件数</t>
  </si>
  <si>
    <t>李绍卫</t>
  </si>
  <si>
    <t>提升P32S背门内板SPH</t>
  </si>
  <si>
    <t>冯大俊</t>
  </si>
  <si>
    <t>直接到间接-间准人员减负</t>
    <phoneticPr fontId="1" type="noConversion"/>
  </si>
  <si>
    <t>王冠</t>
    <phoneticPr fontId="1" type="noConversion"/>
  </si>
  <si>
    <t>东风制造效率提升</t>
    <phoneticPr fontId="1" type="noConversion"/>
  </si>
  <si>
    <t>吴广超</t>
    <phoneticPr fontId="1" type="noConversion"/>
  </si>
  <si>
    <t>刘昇</t>
    <phoneticPr fontId="1" type="noConversion"/>
  </si>
  <si>
    <t>全国设备管理与技术创新成果</t>
    <phoneticPr fontId="1" type="noConversion"/>
  </si>
  <si>
    <t>冲焊科</t>
  </si>
  <si>
    <t>冲焊科</t>
    <phoneticPr fontId="1" type="noConversion"/>
  </si>
  <si>
    <t>涂树科</t>
  </si>
  <si>
    <t>涂树科</t>
    <phoneticPr fontId="1" type="noConversion"/>
  </si>
  <si>
    <t>综合管理科</t>
  </si>
  <si>
    <t>综合管理科</t>
    <phoneticPr fontId="1" type="noConversion"/>
  </si>
  <si>
    <t>大连财务科</t>
  </si>
  <si>
    <t>大连财务科</t>
    <phoneticPr fontId="1" type="noConversion"/>
  </si>
  <si>
    <t>大连部品科</t>
  </si>
  <si>
    <t>大连部品科</t>
    <phoneticPr fontId="1" type="noConversion"/>
  </si>
  <si>
    <t>刘昇</t>
  </si>
  <si>
    <t>曹洪志</t>
    <phoneticPr fontId="1" type="noConversion"/>
  </si>
  <si>
    <t>邢若飞</t>
    <phoneticPr fontId="1" type="noConversion"/>
  </si>
  <si>
    <t>DFN 节能改善QC发表</t>
    <phoneticPr fontId="1" type="noConversion"/>
  </si>
  <si>
    <t>DFN EHS改善QC发表</t>
    <phoneticPr fontId="1" type="noConversion"/>
  </si>
  <si>
    <t>工号</t>
  </si>
  <si>
    <t>部门</t>
  </si>
  <si>
    <t>8610486</t>
  </si>
  <si>
    <t>李道思</t>
  </si>
  <si>
    <t>大连工厂</t>
  </si>
  <si>
    <t>8684958</t>
  </si>
  <si>
    <t>张培</t>
  </si>
  <si>
    <t>8656578</t>
  </si>
  <si>
    <t>戴岩</t>
  </si>
  <si>
    <t>工务部</t>
  </si>
  <si>
    <t>8630960</t>
  </si>
  <si>
    <t>李伟</t>
  </si>
  <si>
    <t>综合部</t>
  </si>
  <si>
    <t>8601498</t>
  </si>
  <si>
    <t>张劼</t>
  </si>
  <si>
    <t>党群工作部</t>
  </si>
  <si>
    <t>党群工作室</t>
  </si>
  <si>
    <t>8661958</t>
  </si>
  <si>
    <t>踪祥</t>
  </si>
  <si>
    <t>8613192</t>
  </si>
  <si>
    <t>胡鑫</t>
  </si>
  <si>
    <t>8620551</t>
  </si>
  <si>
    <t>韩伯杰</t>
  </si>
  <si>
    <t>制造部</t>
  </si>
  <si>
    <t>8614905</t>
  </si>
  <si>
    <t>李培勇</t>
  </si>
  <si>
    <t>8672924</t>
  </si>
  <si>
    <t>郭月磊</t>
  </si>
  <si>
    <t>8630949</t>
  </si>
  <si>
    <t>刘东</t>
  </si>
  <si>
    <t>8672927</t>
  </si>
  <si>
    <t>杨传辉</t>
  </si>
  <si>
    <t>8686062</t>
  </si>
  <si>
    <t>许铮</t>
  </si>
  <si>
    <t>8678830</t>
  </si>
  <si>
    <t>苏驰</t>
  </si>
  <si>
    <t>8620610</t>
  </si>
  <si>
    <t>张彪</t>
  </si>
  <si>
    <t>8686809</t>
  </si>
  <si>
    <t>王静芳</t>
  </si>
  <si>
    <t>8684133</t>
  </si>
  <si>
    <t>徐鑫</t>
  </si>
  <si>
    <t>8682493</t>
  </si>
  <si>
    <t>林昕</t>
  </si>
  <si>
    <t>8671456</t>
  </si>
  <si>
    <t>刘帅</t>
  </si>
  <si>
    <t>8684651</t>
  </si>
  <si>
    <t>8677376</t>
  </si>
  <si>
    <t>马祖群</t>
  </si>
  <si>
    <t>8684738</t>
  </si>
  <si>
    <t>张艺军</t>
  </si>
  <si>
    <t>8696816</t>
  </si>
  <si>
    <t>8678829</t>
  </si>
  <si>
    <t>张琦</t>
  </si>
  <si>
    <t>8681890</t>
  </si>
  <si>
    <t>8683930</t>
  </si>
  <si>
    <t>谷金鑫</t>
  </si>
  <si>
    <t>8687965</t>
  </si>
  <si>
    <t>曹建双</t>
  </si>
  <si>
    <t>8695305</t>
  </si>
  <si>
    <t>8696248</t>
  </si>
  <si>
    <t>于津</t>
  </si>
  <si>
    <t>张哲</t>
  </si>
  <si>
    <t>8696518</t>
  </si>
  <si>
    <t>王元</t>
  </si>
  <si>
    <t>8687765</t>
  </si>
  <si>
    <t>8620291</t>
  </si>
  <si>
    <t>杨红波</t>
  </si>
  <si>
    <t>8680611</t>
  </si>
  <si>
    <t>郭艳波</t>
  </si>
  <si>
    <t>8683691</t>
  </si>
  <si>
    <t>薛晶晶</t>
  </si>
  <si>
    <t>8683928</t>
  </si>
  <si>
    <t>许红科</t>
  </si>
  <si>
    <t>8672918</t>
  </si>
  <si>
    <t>李凤文</t>
  </si>
  <si>
    <t>8672818</t>
  </si>
  <si>
    <t>邹斌</t>
  </si>
  <si>
    <t>8676014</t>
  </si>
  <si>
    <t>杨艳宝</t>
  </si>
  <si>
    <t>8613261</t>
  </si>
  <si>
    <t>8693576</t>
  </si>
  <si>
    <t>王磊</t>
  </si>
  <si>
    <t>8683690</t>
  </si>
  <si>
    <t>何德财</t>
  </si>
  <si>
    <t>8687986</t>
  </si>
  <si>
    <t>8692280</t>
  </si>
  <si>
    <t>王波</t>
  </si>
  <si>
    <t>李东坪</t>
  </si>
  <si>
    <t>8694963</t>
  </si>
  <si>
    <t>孙承帅</t>
  </si>
  <si>
    <t>8698965</t>
  </si>
  <si>
    <t>刘炜华</t>
  </si>
  <si>
    <t>8698876</t>
  </si>
  <si>
    <t>8699083</t>
  </si>
  <si>
    <t>8715714</t>
  </si>
  <si>
    <t>边朝卿</t>
  </si>
  <si>
    <t>8716094</t>
  </si>
  <si>
    <t>徐绍关</t>
  </si>
  <si>
    <t>8719234</t>
  </si>
  <si>
    <t>吕永琦</t>
  </si>
  <si>
    <t>8696729</t>
  </si>
  <si>
    <t>殷亚强</t>
  </si>
  <si>
    <t>曲叶超</t>
  </si>
  <si>
    <t>8722475</t>
  </si>
  <si>
    <t>冯泽华</t>
  </si>
  <si>
    <t>8722474</t>
  </si>
  <si>
    <t>刘雨轩</t>
  </si>
  <si>
    <t>8722476</t>
  </si>
  <si>
    <t>李晓冉</t>
  </si>
  <si>
    <t>8683979</t>
  </si>
  <si>
    <t>8683980</t>
  </si>
  <si>
    <t>8684527</t>
  </si>
  <si>
    <t>李志彬</t>
  </si>
  <si>
    <t>8730581</t>
  </si>
  <si>
    <t>华运崇</t>
  </si>
  <si>
    <t>8730579</t>
  </si>
  <si>
    <t>赵伟</t>
  </si>
  <si>
    <t>8730580</t>
  </si>
  <si>
    <t>佟鑫凯</t>
  </si>
  <si>
    <t>8681029</t>
  </si>
  <si>
    <t>周吉庆</t>
  </si>
  <si>
    <t>8684010</t>
  </si>
  <si>
    <t>胡绍林</t>
  </si>
  <si>
    <t>8668881</t>
  </si>
  <si>
    <t>王东冰</t>
  </si>
  <si>
    <t>8682839</t>
  </si>
  <si>
    <t>8653897</t>
  </si>
  <si>
    <t>郭斌</t>
  </si>
  <si>
    <t>8675743</t>
  </si>
  <si>
    <t>韩建森</t>
  </si>
  <si>
    <t>8684027</t>
  </si>
  <si>
    <t>薛茗予</t>
  </si>
  <si>
    <t>8675739</t>
  </si>
  <si>
    <t>姚欣</t>
  </si>
  <si>
    <t>8612614</t>
  </si>
  <si>
    <t>张晓辉</t>
  </si>
  <si>
    <t>8673985</t>
  </si>
  <si>
    <t>王涛</t>
  </si>
  <si>
    <t>8673987</t>
  </si>
  <si>
    <t>姚增广</t>
  </si>
  <si>
    <t>8673992</t>
  </si>
  <si>
    <t>李向明</t>
  </si>
  <si>
    <t>8673993</t>
  </si>
  <si>
    <t>徐修振</t>
  </si>
  <si>
    <t>8673994</t>
  </si>
  <si>
    <t>袁芳</t>
  </si>
  <si>
    <t>8673997</t>
  </si>
  <si>
    <t>8673998</t>
  </si>
  <si>
    <t>8673999</t>
  </si>
  <si>
    <t>金玮佳</t>
  </si>
  <si>
    <t>8674000</t>
  </si>
  <si>
    <t>张义斌</t>
  </si>
  <si>
    <t>8674002</t>
  </si>
  <si>
    <t>李扬</t>
  </si>
  <si>
    <t>8674004</t>
  </si>
  <si>
    <t>刘忠宝</t>
  </si>
  <si>
    <t>8674005</t>
  </si>
  <si>
    <t>白俊新</t>
  </si>
  <si>
    <t>8674007</t>
  </si>
  <si>
    <t>张学良</t>
  </si>
  <si>
    <t>8674008</t>
  </si>
  <si>
    <t>李松林</t>
  </si>
  <si>
    <t>8674012</t>
  </si>
  <si>
    <t>闫盼盼</t>
  </si>
  <si>
    <t>8674014</t>
  </si>
  <si>
    <t>8674015</t>
  </si>
  <si>
    <t>8674023</t>
  </si>
  <si>
    <t>张于</t>
  </si>
  <si>
    <t>8674024</t>
  </si>
  <si>
    <t>任洪岩</t>
  </si>
  <si>
    <t>8674026</t>
  </si>
  <si>
    <t>赵文生</t>
  </si>
  <si>
    <t>8674027</t>
  </si>
  <si>
    <t>邱文福</t>
  </si>
  <si>
    <t>8674028</t>
  </si>
  <si>
    <t>王超</t>
  </si>
  <si>
    <t>8674030</t>
  </si>
  <si>
    <t>王元成</t>
  </si>
  <si>
    <t>8674033</t>
  </si>
  <si>
    <t>张秀婷</t>
  </si>
  <si>
    <t>8674034</t>
  </si>
  <si>
    <t>8674035</t>
  </si>
  <si>
    <t>曹文成</t>
  </si>
  <si>
    <t>8674036</t>
  </si>
  <si>
    <t>孙成亮</t>
  </si>
  <si>
    <t>8674037</t>
  </si>
  <si>
    <t>徐恩斌</t>
  </si>
  <si>
    <t>8674038</t>
  </si>
  <si>
    <t>陈刚</t>
  </si>
  <si>
    <t>8674039</t>
  </si>
  <si>
    <t>曲宏朋</t>
  </si>
  <si>
    <t>8674041</t>
  </si>
  <si>
    <t>余威剑</t>
  </si>
  <si>
    <t>8674042</t>
  </si>
  <si>
    <t>苑振华</t>
  </si>
  <si>
    <t>8674044</t>
  </si>
  <si>
    <t>林宇超</t>
  </si>
  <si>
    <t>8674046</t>
  </si>
  <si>
    <t>刘翠</t>
  </si>
  <si>
    <t>8674053</t>
  </si>
  <si>
    <t>芮英宗</t>
  </si>
  <si>
    <t>8674055</t>
  </si>
  <si>
    <t>王焕宇</t>
  </si>
  <si>
    <t>8674056</t>
  </si>
  <si>
    <t>8674057</t>
  </si>
  <si>
    <t>王常欢</t>
  </si>
  <si>
    <t>8674440</t>
  </si>
  <si>
    <t>滕玉龙</t>
  </si>
  <si>
    <t>8674442</t>
  </si>
  <si>
    <t>刘洋</t>
  </si>
  <si>
    <t>8674443</t>
  </si>
  <si>
    <t>李永龙</t>
  </si>
  <si>
    <t>王冬亮</t>
  </si>
  <si>
    <t>8674445</t>
  </si>
  <si>
    <t>刘君祖</t>
  </si>
  <si>
    <t>8674447</t>
  </si>
  <si>
    <t>邓茗哲</t>
  </si>
  <si>
    <t>8674448</t>
  </si>
  <si>
    <t>杨明阳</t>
  </si>
  <si>
    <t>8674452</t>
  </si>
  <si>
    <t>李春杨</t>
  </si>
  <si>
    <t>8674454</t>
  </si>
  <si>
    <t>王栋</t>
  </si>
  <si>
    <t>8674457</t>
  </si>
  <si>
    <t>奚小龙</t>
  </si>
  <si>
    <t>8674460</t>
  </si>
  <si>
    <t>张良宇</t>
  </si>
  <si>
    <t>8673982</t>
  </si>
  <si>
    <t>姜宗远</t>
  </si>
  <si>
    <t>8673983</t>
  </si>
  <si>
    <t>徐超</t>
  </si>
  <si>
    <t>8675740</t>
  </si>
  <si>
    <t>毕相南</t>
  </si>
  <si>
    <t>8675741</t>
  </si>
  <si>
    <t>8676578</t>
  </si>
  <si>
    <t>林国峰</t>
  </si>
  <si>
    <t>8676579</t>
  </si>
  <si>
    <t>张霖</t>
  </si>
  <si>
    <t>8676580</t>
  </si>
  <si>
    <t>刘春峰</t>
  </si>
  <si>
    <t>8676581</t>
  </si>
  <si>
    <t>8676583</t>
  </si>
  <si>
    <t>韩振</t>
  </si>
  <si>
    <t>8676584</t>
  </si>
  <si>
    <t>8676592</t>
  </si>
  <si>
    <t>张广斌</t>
  </si>
  <si>
    <t>8676597</t>
  </si>
  <si>
    <t>孔维民</t>
  </si>
  <si>
    <t>8676604</t>
  </si>
  <si>
    <t>8676608</t>
  </si>
  <si>
    <t>田茂海</t>
  </si>
  <si>
    <t>8676621</t>
  </si>
  <si>
    <t>李立明</t>
  </si>
  <si>
    <t>8676626</t>
  </si>
  <si>
    <t>刘辰</t>
  </si>
  <si>
    <t>8676628</t>
  </si>
  <si>
    <t>刘超</t>
  </si>
  <si>
    <t>8676633</t>
  </si>
  <si>
    <t>张海鹏</t>
  </si>
  <si>
    <t>8676651</t>
  </si>
  <si>
    <t>贺佳男</t>
  </si>
  <si>
    <t>8676652</t>
  </si>
  <si>
    <t>孙琦</t>
  </si>
  <si>
    <t>8676653</t>
  </si>
  <si>
    <t>向利平</t>
  </si>
  <si>
    <t>8676660</t>
  </si>
  <si>
    <t>林英壮</t>
  </si>
  <si>
    <t>8676661</t>
  </si>
  <si>
    <t>王国良</t>
  </si>
  <si>
    <t>8676671</t>
  </si>
  <si>
    <t>8676672</t>
  </si>
  <si>
    <t>刘作霖</t>
  </si>
  <si>
    <t>8676675</t>
  </si>
  <si>
    <t>于政权</t>
  </si>
  <si>
    <t>8676676</t>
  </si>
  <si>
    <t>付延斌</t>
  </si>
  <si>
    <t>8676678</t>
  </si>
  <si>
    <t>孙伯旬</t>
  </si>
  <si>
    <t>8676684</t>
  </si>
  <si>
    <t>杨莲</t>
  </si>
  <si>
    <t>8676687</t>
  </si>
  <si>
    <t>孙庭伟</t>
  </si>
  <si>
    <t>8676688</t>
  </si>
  <si>
    <t>许强</t>
  </si>
  <si>
    <t>8676691</t>
  </si>
  <si>
    <t>王润秋</t>
  </si>
  <si>
    <t>8676697</t>
  </si>
  <si>
    <t>刘子鸣</t>
  </si>
  <si>
    <t>8676699</t>
  </si>
  <si>
    <t>邢广根</t>
  </si>
  <si>
    <t>8679303</t>
  </si>
  <si>
    <t>杜洋</t>
  </si>
  <si>
    <t>8656051</t>
  </si>
  <si>
    <t>杨继光</t>
  </si>
  <si>
    <t>8658133</t>
  </si>
  <si>
    <t>徐海岩</t>
  </si>
  <si>
    <t>8613279</t>
  </si>
  <si>
    <t>耿国峰</t>
  </si>
  <si>
    <t>8614212</t>
  </si>
  <si>
    <t>刘在荣</t>
  </si>
  <si>
    <t>8613426</t>
  </si>
  <si>
    <t>闫瑞坤</t>
  </si>
  <si>
    <t>8658303</t>
  </si>
  <si>
    <t>马添鹏</t>
  </si>
  <si>
    <t>8614160</t>
  </si>
  <si>
    <t>8613369</t>
  </si>
  <si>
    <t>潘峰</t>
  </si>
  <si>
    <t>8612664</t>
  </si>
  <si>
    <t>梁云飞</t>
  </si>
  <si>
    <t>8662193</t>
  </si>
  <si>
    <t>黄文彬</t>
  </si>
  <si>
    <t>8613207</t>
  </si>
  <si>
    <t>钱林生</t>
  </si>
  <si>
    <t>8613394</t>
  </si>
  <si>
    <t>8614408</t>
  </si>
  <si>
    <t>8614415</t>
  </si>
  <si>
    <t>孙建龙</t>
  </si>
  <si>
    <t>8613399</t>
  </si>
  <si>
    <t>杨波</t>
  </si>
  <si>
    <t>8614608</t>
  </si>
  <si>
    <t>孟庆贵</t>
  </si>
  <si>
    <t>8614405</t>
  </si>
  <si>
    <t>吴振伟</t>
  </si>
  <si>
    <t>8614402</t>
  </si>
  <si>
    <t>唐超</t>
  </si>
  <si>
    <t>8613549</t>
  </si>
  <si>
    <t>王忠雨</t>
  </si>
  <si>
    <t>8614611</t>
  </si>
  <si>
    <t>陶士越</t>
  </si>
  <si>
    <t>8614203</t>
  </si>
  <si>
    <t>傅自喜</t>
  </si>
  <si>
    <t>8614091</t>
  </si>
  <si>
    <t>候国伟</t>
  </si>
  <si>
    <t>8614095</t>
  </si>
  <si>
    <t>李阳</t>
  </si>
  <si>
    <t>8613908</t>
  </si>
  <si>
    <t>谢胜</t>
  </si>
  <si>
    <t>8614839</t>
  </si>
  <si>
    <t>王宗杰</t>
  </si>
  <si>
    <t>8613241</t>
  </si>
  <si>
    <t>康攀峰</t>
  </si>
  <si>
    <t>8615238</t>
  </si>
  <si>
    <t>张军港</t>
  </si>
  <si>
    <t>8614932</t>
  </si>
  <si>
    <t>褚占飞</t>
  </si>
  <si>
    <t>8615234</t>
  </si>
  <si>
    <t>马运波</t>
  </si>
  <si>
    <t>8614935</t>
  </si>
  <si>
    <t>李纪阔</t>
  </si>
  <si>
    <t>8614614</t>
  </si>
  <si>
    <t>李生国</t>
  </si>
  <si>
    <t>8613406</t>
  </si>
  <si>
    <t>冯德志</t>
  </si>
  <si>
    <t>8614890</t>
  </si>
  <si>
    <t>刘杰</t>
  </si>
  <si>
    <t>8612273</t>
  </si>
  <si>
    <t>张换</t>
  </si>
  <si>
    <t>8615190</t>
  </si>
  <si>
    <t>刘明</t>
  </si>
  <si>
    <t>8612275</t>
  </si>
  <si>
    <t>王旭</t>
  </si>
  <si>
    <t>8615242</t>
  </si>
  <si>
    <t>陈程</t>
  </si>
  <si>
    <t>8614162</t>
  </si>
  <si>
    <t>张现磊</t>
  </si>
  <si>
    <t>8614036</t>
  </si>
  <si>
    <t>陈瑞</t>
  </si>
  <si>
    <t>8614155</t>
  </si>
  <si>
    <t>栗庆和</t>
  </si>
  <si>
    <t>8615236</t>
  </si>
  <si>
    <t>杨廷奎</t>
  </si>
  <si>
    <t>8614632</t>
  </si>
  <si>
    <t>刘行</t>
  </si>
  <si>
    <t>8614056</t>
  </si>
  <si>
    <t>柳青</t>
  </si>
  <si>
    <t>8614411</t>
  </si>
  <si>
    <t>韩振功</t>
  </si>
  <si>
    <t>8613507</t>
  </si>
  <si>
    <t>赵俊龙</t>
  </si>
  <si>
    <t>8613408</t>
  </si>
  <si>
    <t>周明</t>
  </si>
  <si>
    <t>8613407</t>
  </si>
  <si>
    <t>王金刚</t>
  </si>
  <si>
    <t>8612665</t>
  </si>
  <si>
    <t>8615163</t>
  </si>
  <si>
    <t>张涛</t>
  </si>
  <si>
    <t>8612526</t>
  </si>
  <si>
    <t>于家兴</t>
  </si>
  <si>
    <t>8615189</t>
  </si>
  <si>
    <t>姜亚平</t>
  </si>
  <si>
    <t>8613221</t>
  </si>
  <si>
    <t>王兴军</t>
  </si>
  <si>
    <t>8615248</t>
  </si>
  <si>
    <t>李建伟</t>
  </si>
  <si>
    <t>8615183</t>
  </si>
  <si>
    <t>张永森</t>
  </si>
  <si>
    <t>8615446</t>
  </si>
  <si>
    <t>8615904</t>
  </si>
  <si>
    <t>赵极</t>
  </si>
  <si>
    <t>8621101</t>
  </si>
  <si>
    <t>李海军</t>
  </si>
  <si>
    <t>8621106</t>
  </si>
  <si>
    <t>苏涛</t>
  </si>
  <si>
    <t>8621141</t>
  </si>
  <si>
    <t>任鑫</t>
  </si>
  <si>
    <t>8613083</t>
  </si>
  <si>
    <t>谢宏明</t>
  </si>
  <si>
    <t>8620284</t>
  </si>
  <si>
    <t>李金丽</t>
  </si>
  <si>
    <t>8621057</t>
  </si>
  <si>
    <t>翁军</t>
  </si>
  <si>
    <t>8620200</t>
  </si>
  <si>
    <t>吴克强</t>
  </si>
  <si>
    <t>8679205</t>
  </si>
  <si>
    <t>贾伟鹏</t>
  </si>
  <si>
    <t>8679214</t>
  </si>
  <si>
    <t>赵振楠</t>
  </si>
  <si>
    <t>8679216</t>
  </si>
  <si>
    <t>王福远</t>
  </si>
  <si>
    <t>8679390</t>
  </si>
  <si>
    <t>徐成富</t>
  </si>
  <si>
    <t>8679391</t>
  </si>
  <si>
    <t>李长儒</t>
  </si>
  <si>
    <t>8679394</t>
  </si>
  <si>
    <t>崔志明</t>
  </si>
  <si>
    <t>8679395</t>
  </si>
  <si>
    <t>董俊</t>
  </si>
  <si>
    <t>8679397</t>
  </si>
  <si>
    <t>高祥</t>
  </si>
  <si>
    <t>8679400</t>
  </si>
  <si>
    <t>孙开宇</t>
  </si>
  <si>
    <t>8679401</t>
  </si>
  <si>
    <t>孙洋</t>
  </si>
  <si>
    <t>8679402</t>
  </si>
  <si>
    <t>王寿山</t>
  </si>
  <si>
    <t>8679406</t>
  </si>
  <si>
    <t>张迎新</t>
  </si>
  <si>
    <t>8679408</t>
  </si>
  <si>
    <t>周恒</t>
  </si>
  <si>
    <t>8679410</t>
  </si>
  <si>
    <t>杨兆福</t>
  </si>
  <si>
    <t>8679415</t>
  </si>
  <si>
    <t>李东阳</t>
  </si>
  <si>
    <t>8679419</t>
  </si>
  <si>
    <t>齐开盛</t>
  </si>
  <si>
    <t>8679420</t>
  </si>
  <si>
    <t>王鸿君</t>
  </si>
  <si>
    <t>8679424</t>
  </si>
  <si>
    <t>李寿鹏</t>
  </si>
  <si>
    <t>8679425</t>
  </si>
  <si>
    <t>王玉</t>
  </si>
  <si>
    <t>8679434</t>
  </si>
  <si>
    <t>李家齐</t>
  </si>
  <si>
    <t>8679435</t>
  </si>
  <si>
    <t>李天宇</t>
  </si>
  <si>
    <t>8679438</t>
  </si>
  <si>
    <t>吕大洋</t>
  </si>
  <si>
    <t>8679441</t>
  </si>
  <si>
    <t>宋建行</t>
  </si>
  <si>
    <t>8679443</t>
  </si>
  <si>
    <t>薛志权</t>
  </si>
  <si>
    <t>8679446</t>
  </si>
  <si>
    <t>赵雨宾</t>
  </si>
  <si>
    <t>8679449</t>
  </si>
  <si>
    <t>曹傲男</t>
  </si>
  <si>
    <t>8679450</t>
  </si>
  <si>
    <t>魏双全</t>
  </si>
  <si>
    <t>8679453</t>
  </si>
  <si>
    <t>吴迪</t>
  </si>
  <si>
    <t>8679455</t>
  </si>
  <si>
    <t>于维平</t>
  </si>
  <si>
    <t>8679460</t>
  </si>
  <si>
    <t>张松原</t>
  </si>
  <si>
    <t>8679478</t>
  </si>
  <si>
    <t>严家慧</t>
  </si>
  <si>
    <t>8679480</t>
  </si>
  <si>
    <t>罗其泉</t>
  </si>
  <si>
    <t>8679258</t>
  </si>
  <si>
    <t>李彬彬</t>
  </si>
  <si>
    <t>8679265</t>
  </si>
  <si>
    <t>卢红雷</t>
  </si>
  <si>
    <t>8679266</t>
  </si>
  <si>
    <t>刘家和</t>
  </si>
  <si>
    <t>8679267</t>
  </si>
  <si>
    <t>宋光雯</t>
  </si>
  <si>
    <t>8679269</t>
  </si>
  <si>
    <t>薛洪良</t>
  </si>
  <si>
    <t>8679270</t>
  </si>
  <si>
    <t>刘明洋</t>
  </si>
  <si>
    <t>8679274</t>
  </si>
  <si>
    <t>陈会光</t>
  </si>
  <si>
    <t>8679278</t>
  </si>
  <si>
    <t>梁宇</t>
  </si>
  <si>
    <t>8679283</t>
  </si>
  <si>
    <t>李志鹏</t>
  </si>
  <si>
    <t>8679284</t>
  </si>
  <si>
    <t>改文强</t>
  </si>
  <si>
    <t>8679202</t>
  </si>
  <si>
    <t>姜建宇</t>
  </si>
  <si>
    <t>8679296</t>
  </si>
  <si>
    <t>张旭</t>
  </si>
  <si>
    <t>8679297</t>
  </si>
  <si>
    <t>孙英祝</t>
  </si>
  <si>
    <t>8665428</t>
  </si>
  <si>
    <t>邹海兵</t>
  </si>
  <si>
    <t>8613616</t>
  </si>
  <si>
    <t>8612663</t>
  </si>
  <si>
    <t>郑明磊</t>
  </si>
  <si>
    <t>8614163</t>
  </si>
  <si>
    <t>宋培营</t>
  </si>
  <si>
    <t>8612602</t>
  </si>
  <si>
    <t>陈伯奎</t>
  </si>
  <si>
    <t>8613626</t>
  </si>
  <si>
    <t>姜士彪</t>
  </si>
  <si>
    <t>8613227</t>
  </si>
  <si>
    <t>路运涛</t>
  </si>
  <si>
    <t>8610318</t>
  </si>
  <si>
    <t>郎建伟</t>
  </si>
  <si>
    <t>8614156</t>
  </si>
  <si>
    <t>姜贵荣</t>
  </si>
  <si>
    <t>8679885</t>
  </si>
  <si>
    <t>于传忠</t>
  </si>
  <si>
    <t>8679847</t>
  </si>
  <si>
    <t>杨景丽</t>
  </si>
  <si>
    <t>8679860</t>
  </si>
  <si>
    <t>刘荣</t>
  </si>
  <si>
    <t>8679861</t>
  </si>
  <si>
    <t>曲晓昕</t>
  </si>
  <si>
    <t>8679887</t>
  </si>
  <si>
    <t>梁号东</t>
  </si>
  <si>
    <t>8679890</t>
  </si>
  <si>
    <t>崔立威</t>
  </si>
  <si>
    <t>8679899</t>
  </si>
  <si>
    <t>王景言</t>
  </si>
  <si>
    <t>8679900</t>
  </si>
  <si>
    <t>王军帅</t>
  </si>
  <si>
    <t>8679901</t>
  </si>
  <si>
    <t>张炳华</t>
  </si>
  <si>
    <t>8679914</t>
  </si>
  <si>
    <t>宋光扬</t>
  </si>
  <si>
    <t>8679918</t>
  </si>
  <si>
    <t>牛志龙</t>
  </si>
  <si>
    <t>8679920</t>
  </si>
  <si>
    <t>石占志</t>
  </si>
  <si>
    <t>8679924</t>
  </si>
  <si>
    <t>逯阳</t>
  </si>
  <si>
    <t>8679926</t>
  </si>
  <si>
    <t>关猛</t>
  </si>
  <si>
    <t>8680005</t>
  </si>
  <si>
    <t>周鹏博</t>
  </si>
  <si>
    <t>8680006</t>
  </si>
  <si>
    <t>马国栋</t>
  </si>
  <si>
    <t>8680015</t>
  </si>
  <si>
    <t>刘德国</t>
  </si>
  <si>
    <t>8680019</t>
  </si>
  <si>
    <t>张佳明</t>
  </si>
  <si>
    <t>8680022</t>
  </si>
  <si>
    <t>关磊</t>
  </si>
  <si>
    <t>8680027</t>
  </si>
  <si>
    <t>陈立洲</t>
  </si>
  <si>
    <t>8680034</t>
  </si>
  <si>
    <t>钟灵</t>
  </si>
  <si>
    <t>8680035</t>
  </si>
  <si>
    <t>丁建宇</t>
  </si>
  <si>
    <t>8680040</t>
  </si>
  <si>
    <t>王延震</t>
  </si>
  <si>
    <t>8680041</t>
  </si>
  <si>
    <t>陆尧</t>
  </si>
  <si>
    <t>8680045</t>
  </si>
  <si>
    <t>常贺</t>
  </si>
  <si>
    <t>8680048</t>
  </si>
  <si>
    <t>张福超</t>
  </si>
  <si>
    <t>8680051</t>
  </si>
  <si>
    <t>8679866</t>
  </si>
  <si>
    <t>杜鸿飞</t>
  </si>
  <si>
    <t>8679867</t>
  </si>
  <si>
    <t>郭强</t>
  </si>
  <si>
    <t>8679873</t>
  </si>
  <si>
    <t>张勇</t>
  </si>
  <si>
    <t>8679877</t>
  </si>
  <si>
    <t>徐大龙</t>
  </si>
  <si>
    <t>8679927</t>
  </si>
  <si>
    <t>朱岩</t>
  </si>
  <si>
    <t>8679933</t>
  </si>
  <si>
    <t>赵成伟</t>
  </si>
  <si>
    <t>8679934</t>
  </si>
  <si>
    <t>陈晨</t>
  </si>
  <si>
    <t>8679940</t>
  </si>
  <si>
    <t>刘仲明</t>
  </si>
  <si>
    <t>8679943</t>
  </si>
  <si>
    <t>宋超</t>
  </si>
  <si>
    <t>8679946</t>
  </si>
  <si>
    <t>王冬冬</t>
  </si>
  <si>
    <t>8679950</t>
  </si>
  <si>
    <t>周洁</t>
  </si>
  <si>
    <t>8679952</t>
  </si>
  <si>
    <t>宫家超</t>
  </si>
  <si>
    <t>8679953</t>
  </si>
  <si>
    <t>慕翔雨</t>
  </si>
  <si>
    <t>8680055</t>
  </si>
  <si>
    <t>李辉</t>
  </si>
  <si>
    <t>8680056</t>
  </si>
  <si>
    <t>金慧婕</t>
  </si>
  <si>
    <t>8680125</t>
  </si>
  <si>
    <t>王运海</t>
  </si>
  <si>
    <t>8680290</t>
  </si>
  <si>
    <t>宫竺良</t>
  </si>
  <si>
    <t>8680295</t>
  </si>
  <si>
    <t>王志玉</t>
  </si>
  <si>
    <t>8680297</t>
  </si>
  <si>
    <t>8680300</t>
  </si>
  <si>
    <t>王罡</t>
  </si>
  <si>
    <t>8680306</t>
  </si>
  <si>
    <t>金鑫</t>
  </si>
  <si>
    <t>8680308</t>
  </si>
  <si>
    <t>张春晓</t>
  </si>
  <si>
    <t>8680311</t>
  </si>
  <si>
    <t>8680314</t>
  </si>
  <si>
    <t>张克鹏</t>
  </si>
  <si>
    <t>8679999</t>
  </si>
  <si>
    <t>卢献伟</t>
  </si>
  <si>
    <t>8680000</t>
  </si>
  <si>
    <t>韩龙</t>
  </si>
  <si>
    <t>8680952</t>
  </si>
  <si>
    <t>马博伦</t>
  </si>
  <si>
    <t>8681046</t>
  </si>
  <si>
    <t>孙天华</t>
  </si>
  <si>
    <t>8681031</t>
  </si>
  <si>
    <t>8681049</t>
  </si>
  <si>
    <t>王奉君</t>
  </si>
  <si>
    <t>8681051</t>
  </si>
  <si>
    <t>8681053</t>
  </si>
  <si>
    <t>于振林</t>
  </si>
  <si>
    <t>8681055</t>
  </si>
  <si>
    <t>宫泽洋</t>
  </si>
  <si>
    <t>8681058</t>
  </si>
  <si>
    <t>何贵麟</t>
  </si>
  <si>
    <t>8681060</t>
  </si>
  <si>
    <t>宋祥宇</t>
  </si>
  <si>
    <t>8681066</t>
  </si>
  <si>
    <t>樊浩</t>
  </si>
  <si>
    <t>8681068</t>
  </si>
  <si>
    <t>何建</t>
  </si>
  <si>
    <t>8681064</t>
  </si>
  <si>
    <t>郝玉麟</t>
  </si>
  <si>
    <t>8681039</t>
  </si>
  <si>
    <t>赵阳</t>
  </si>
  <si>
    <t>8681080</t>
  </si>
  <si>
    <t>高鑫</t>
  </si>
  <si>
    <t>8681085</t>
  </si>
  <si>
    <t>陶志国</t>
  </si>
  <si>
    <t>8681043</t>
  </si>
  <si>
    <t>崔岩巍</t>
  </si>
  <si>
    <t>8681095</t>
  </si>
  <si>
    <t>岳建强</t>
  </si>
  <si>
    <t>8681099</t>
  </si>
  <si>
    <t>姜瑞明</t>
  </si>
  <si>
    <t>8681101</t>
  </si>
  <si>
    <t>张启东</t>
  </si>
  <si>
    <t>8681102</t>
  </si>
  <si>
    <t>杨学政</t>
  </si>
  <si>
    <t>8681215</t>
  </si>
  <si>
    <t>王玉伟</t>
  </si>
  <si>
    <t>8681186</t>
  </si>
  <si>
    <t>滕帅</t>
  </si>
  <si>
    <t>8681187</t>
  </si>
  <si>
    <t>于彦凯</t>
  </si>
  <si>
    <t>8681190</t>
  </si>
  <si>
    <t>史博文</t>
  </si>
  <si>
    <t>冲焊科（借调党群）</t>
  </si>
  <si>
    <t>8681233</t>
  </si>
  <si>
    <t>王洪帅</t>
  </si>
  <si>
    <t>8681209</t>
  </si>
  <si>
    <t>程明岩</t>
  </si>
  <si>
    <t>8681234</t>
  </si>
  <si>
    <t>程延彪</t>
  </si>
  <si>
    <t>8681194</t>
  </si>
  <si>
    <t>黄方方</t>
  </si>
  <si>
    <t>8681172</t>
  </si>
  <si>
    <t>徐珊宇</t>
  </si>
  <si>
    <t>8681196</t>
  </si>
  <si>
    <t>王施宇</t>
  </si>
  <si>
    <t>8681198</t>
  </si>
  <si>
    <t>尹云超</t>
  </si>
  <si>
    <t>8681235</t>
  </si>
  <si>
    <t>张学海</t>
  </si>
  <si>
    <t>8681219</t>
  </si>
  <si>
    <t>郭旭光</t>
  </si>
  <si>
    <t>8681237</t>
  </si>
  <si>
    <t>张雨生</t>
  </si>
  <si>
    <t>8681176</t>
  </si>
  <si>
    <t>管帅</t>
  </si>
  <si>
    <t>8681203</t>
  </si>
  <si>
    <t>刘靖宇</t>
  </si>
  <si>
    <t>8681204</t>
  </si>
  <si>
    <t>张磊</t>
  </si>
  <si>
    <t>8681205</t>
  </si>
  <si>
    <t>李东宇</t>
  </si>
  <si>
    <t>8681223</t>
  </si>
  <si>
    <t>周皓</t>
  </si>
  <si>
    <t>8681239</t>
  </si>
  <si>
    <t>8681207</t>
  </si>
  <si>
    <t>梁国栋</t>
  </si>
  <si>
    <t>8681225</t>
  </si>
  <si>
    <t>杨晓龙</t>
  </si>
  <si>
    <t>8681179</t>
  </si>
  <si>
    <t>马永强</t>
  </si>
  <si>
    <t>8681180</t>
  </si>
  <si>
    <t>徐强</t>
  </si>
  <si>
    <t>8681230</t>
  </si>
  <si>
    <t>周春航</t>
  </si>
  <si>
    <t>8660175</t>
  </si>
  <si>
    <t>曲珈平</t>
  </si>
  <si>
    <t>8657349</t>
  </si>
  <si>
    <t>宗宝宇</t>
  </si>
  <si>
    <t>8614612</t>
  </si>
  <si>
    <t>黄昌明</t>
  </si>
  <si>
    <t>8616061</t>
  </si>
  <si>
    <t>丁江春</t>
  </si>
  <si>
    <t>8667332</t>
  </si>
  <si>
    <t>郝鑫亮</t>
  </si>
  <si>
    <t>8650621</t>
  </si>
  <si>
    <t>闫瑞乾</t>
  </si>
  <si>
    <t>8670987</t>
  </si>
  <si>
    <t>王成鹏</t>
  </si>
  <si>
    <t>8662002</t>
  </si>
  <si>
    <t>李明明</t>
  </si>
  <si>
    <t>8681361</t>
  </si>
  <si>
    <t>于龙洋</t>
  </si>
  <si>
    <t>8681362</t>
  </si>
  <si>
    <t>初旭</t>
  </si>
  <si>
    <t>8681352</t>
  </si>
  <si>
    <t>杨军</t>
  </si>
  <si>
    <t>8681216</t>
  </si>
  <si>
    <t>孙文博</t>
  </si>
  <si>
    <t>8681366</t>
  </si>
  <si>
    <t>张宇</t>
  </si>
  <si>
    <t>8681367</t>
  </si>
  <si>
    <t>刘佳伦</t>
  </si>
  <si>
    <t>8681368</t>
  </si>
  <si>
    <t>刘宁</t>
  </si>
  <si>
    <t>8681369</t>
  </si>
  <si>
    <t>邢宇暄</t>
  </si>
  <si>
    <t>8681372</t>
  </si>
  <si>
    <t>郭学明</t>
  </si>
  <si>
    <t>8681381</t>
  </si>
  <si>
    <t>段雪蜂</t>
  </si>
  <si>
    <t>8681387</t>
  </si>
  <si>
    <t>李帅</t>
  </si>
  <si>
    <t>8681388</t>
  </si>
  <si>
    <t>林佰龙</t>
  </si>
  <si>
    <t>8681405</t>
  </si>
  <si>
    <t>朱忠庆</t>
  </si>
  <si>
    <t>8681407</t>
  </si>
  <si>
    <t>张福禄</t>
  </si>
  <si>
    <t>8681432</t>
  </si>
  <si>
    <t>张文达</t>
  </si>
  <si>
    <t>8681408</t>
  </si>
  <si>
    <t>姚新爽</t>
  </si>
  <si>
    <t>8681412</t>
  </si>
  <si>
    <t>秦占文</t>
  </si>
  <si>
    <t>8681413</t>
  </si>
  <si>
    <t>卫源卜</t>
  </si>
  <si>
    <t>8681421</t>
  </si>
  <si>
    <t>陈宇</t>
  </si>
  <si>
    <t>8681445</t>
  </si>
  <si>
    <t>庞雨</t>
  </si>
  <si>
    <t>8681426</t>
  </si>
  <si>
    <t>宫海伦</t>
  </si>
  <si>
    <t>8681427</t>
  </si>
  <si>
    <t>李建东</t>
  </si>
  <si>
    <t>8681428</t>
  </si>
  <si>
    <t>严明</t>
  </si>
  <si>
    <t>8681430</t>
  </si>
  <si>
    <t>贾博文</t>
  </si>
  <si>
    <t>8681431</t>
  </si>
  <si>
    <t>刘广策</t>
  </si>
  <si>
    <t>8681510</t>
  </si>
  <si>
    <t>韩霜</t>
  </si>
  <si>
    <t>8681577</t>
  </si>
  <si>
    <t>戴辛夷</t>
  </si>
  <si>
    <t>8681578</t>
  </si>
  <si>
    <t>王国强</t>
  </si>
  <si>
    <t>8681609</t>
  </si>
  <si>
    <t>张羽</t>
  </si>
  <si>
    <t>8681611</t>
  </si>
  <si>
    <t>张鹏飞</t>
  </si>
  <si>
    <t>8681581</t>
  </si>
  <si>
    <t>许东东</t>
  </si>
  <si>
    <t>8681603</t>
  </si>
  <si>
    <t>刘云涛</t>
  </si>
  <si>
    <t>8681583</t>
  </si>
  <si>
    <t>8681634</t>
  </si>
  <si>
    <t>张震</t>
  </si>
  <si>
    <t>8681587</t>
  </si>
  <si>
    <t>韩强</t>
  </si>
  <si>
    <t>8681615</t>
  </si>
  <si>
    <t>丛明浩</t>
  </si>
  <si>
    <t>8681590</t>
  </si>
  <si>
    <t>陈龙</t>
  </si>
  <si>
    <t>8681639</t>
  </si>
  <si>
    <t>田艳文</t>
  </si>
  <si>
    <t>8681593</t>
  </si>
  <si>
    <t>赵艳双</t>
  </si>
  <si>
    <t>8681641</t>
  </si>
  <si>
    <t>张华</t>
  </si>
  <si>
    <t>8681594</t>
  </si>
  <si>
    <t>张金龙</t>
  </si>
  <si>
    <t>8681642</t>
  </si>
  <si>
    <t>苏杭</t>
  </si>
  <si>
    <t>8681645</t>
  </si>
  <si>
    <t>张博淳</t>
  </si>
  <si>
    <t>8681649</t>
  </si>
  <si>
    <t>王国祥</t>
  </si>
  <si>
    <t>8681650</t>
  </si>
  <si>
    <t>吴浩</t>
  </si>
  <si>
    <t>8681651</t>
  </si>
  <si>
    <t>赵治宇</t>
  </si>
  <si>
    <t>8681659</t>
  </si>
  <si>
    <t>赵玥</t>
  </si>
  <si>
    <t>8681660</t>
  </si>
  <si>
    <t>李嘉泽</t>
  </si>
  <si>
    <t>8681595</t>
  </si>
  <si>
    <t>李龙海</t>
  </si>
  <si>
    <t>8681661</t>
  </si>
  <si>
    <t>张澄宇</t>
  </si>
  <si>
    <t>8681662</t>
  </si>
  <si>
    <t>楚佳楠</t>
  </si>
  <si>
    <t>8681626</t>
  </si>
  <si>
    <t>陈伟勃</t>
  </si>
  <si>
    <t>8681669</t>
  </si>
  <si>
    <t>孙国涛</t>
  </si>
  <si>
    <t>8681675</t>
  </si>
  <si>
    <t>陈兴东</t>
  </si>
  <si>
    <t>8681677</t>
  </si>
  <si>
    <t>周环宇</t>
  </si>
  <si>
    <t>8681678</t>
  </si>
  <si>
    <t>张瑜</t>
  </si>
  <si>
    <t>8681730</t>
  </si>
  <si>
    <t>李贺</t>
  </si>
  <si>
    <t>8681731</t>
  </si>
  <si>
    <t>张高生</t>
  </si>
  <si>
    <t>8615153</t>
  </si>
  <si>
    <t>康高峰</t>
  </si>
  <si>
    <t>8682184</t>
  </si>
  <si>
    <t>王向博</t>
  </si>
  <si>
    <t>8682189</t>
  </si>
  <si>
    <t>丁兆福</t>
  </si>
  <si>
    <t>8681995</t>
  </si>
  <si>
    <t>王美世</t>
  </si>
  <si>
    <t>8681999</t>
  </si>
  <si>
    <t>李明林</t>
  </si>
  <si>
    <t>8682000</t>
  </si>
  <si>
    <t>单波</t>
  </si>
  <si>
    <t>8682002</t>
  </si>
  <si>
    <t>车知远</t>
  </si>
  <si>
    <t>8682005</t>
  </si>
  <si>
    <t>徐仕佳</t>
  </si>
  <si>
    <t>8682008</t>
  </si>
  <si>
    <t>王宁</t>
  </si>
  <si>
    <t>8682010</t>
  </si>
  <si>
    <t>王柏强</t>
  </si>
  <si>
    <t>8682017</t>
  </si>
  <si>
    <t>宋宝志</t>
  </si>
  <si>
    <t>8682018</t>
  </si>
  <si>
    <t>刘汉冰</t>
  </si>
  <si>
    <t>8682023</t>
  </si>
  <si>
    <t>韩帅帅</t>
  </si>
  <si>
    <t>8682027</t>
  </si>
  <si>
    <t>赵月</t>
  </si>
  <si>
    <t>8682029</t>
  </si>
  <si>
    <t>孙成阳</t>
  </si>
  <si>
    <t>8682032</t>
  </si>
  <si>
    <t>孟彤</t>
  </si>
  <si>
    <t>8682033</t>
  </si>
  <si>
    <t>董伟星</t>
  </si>
  <si>
    <t>8682034</t>
  </si>
  <si>
    <t>徐志佳</t>
  </si>
  <si>
    <t>8682035</t>
  </si>
  <si>
    <t>王硕</t>
  </si>
  <si>
    <t>8682038</t>
  </si>
  <si>
    <t>樊爽</t>
  </si>
  <si>
    <t>8682040</t>
  </si>
  <si>
    <t>张照挥</t>
  </si>
  <si>
    <t>8682041</t>
  </si>
  <si>
    <t>张宏祥</t>
  </si>
  <si>
    <t>8682042</t>
  </si>
  <si>
    <t>李秉霖</t>
  </si>
  <si>
    <t>8682050</t>
  </si>
  <si>
    <t>董亮</t>
  </si>
  <si>
    <t>8682062</t>
  </si>
  <si>
    <t>王忠秋</t>
  </si>
  <si>
    <t>8682063</t>
  </si>
  <si>
    <t>李莹</t>
  </si>
  <si>
    <t>8682064</t>
  </si>
  <si>
    <t>王彭涛</t>
  </si>
  <si>
    <t>8682066</t>
  </si>
  <si>
    <t>贾飞龙</t>
  </si>
  <si>
    <t>8682084</t>
  </si>
  <si>
    <t>董世超</t>
  </si>
  <si>
    <t>8682085</t>
  </si>
  <si>
    <t>齐星光</t>
  </si>
  <si>
    <t>8682087</t>
  </si>
  <si>
    <t>丁立平</t>
  </si>
  <si>
    <t>8682092</t>
  </si>
  <si>
    <t>魏源博</t>
  </si>
  <si>
    <t>8682094</t>
  </si>
  <si>
    <t>刘兴龙</t>
  </si>
  <si>
    <t>8682097</t>
  </si>
  <si>
    <t>8682100</t>
  </si>
  <si>
    <t>郎坤</t>
  </si>
  <si>
    <t>8682104</t>
  </si>
  <si>
    <t>慈铁</t>
  </si>
  <si>
    <t>8682124</t>
  </si>
  <si>
    <t>谷兰</t>
  </si>
  <si>
    <t>8682130</t>
  </si>
  <si>
    <t>沈春贺</t>
  </si>
  <si>
    <t>8682143</t>
  </si>
  <si>
    <t>张琇玮</t>
  </si>
  <si>
    <t>8682150</t>
  </si>
  <si>
    <t>彭立成</t>
  </si>
  <si>
    <t>8682151</t>
  </si>
  <si>
    <t>孙野</t>
  </si>
  <si>
    <t>8682155</t>
  </si>
  <si>
    <t>赵永斌</t>
  </si>
  <si>
    <t>8682158</t>
  </si>
  <si>
    <t>柳鑫</t>
  </si>
  <si>
    <t>8682163</t>
  </si>
  <si>
    <t>施维翀</t>
  </si>
  <si>
    <t>8682164</t>
  </si>
  <si>
    <t>孙宗宇</t>
  </si>
  <si>
    <t>8682165</t>
  </si>
  <si>
    <t>刘忠强</t>
  </si>
  <si>
    <t>8682173</t>
  </si>
  <si>
    <t>徐竟航</t>
  </si>
  <si>
    <t>8682176</t>
  </si>
  <si>
    <t>王胤丞</t>
  </si>
  <si>
    <t>8682180</t>
  </si>
  <si>
    <t>于坤</t>
  </si>
  <si>
    <t>8682181</t>
  </si>
  <si>
    <t>孟繁博</t>
  </si>
  <si>
    <t>8682182</t>
  </si>
  <si>
    <t>孟凡成</t>
  </si>
  <si>
    <t>8682431</t>
  </si>
  <si>
    <t>董志明</t>
  </si>
  <si>
    <t>8682435</t>
  </si>
  <si>
    <t>张家富</t>
  </si>
  <si>
    <t>8682441</t>
  </si>
  <si>
    <t>刘健德</t>
  </si>
  <si>
    <t>8682446</t>
  </si>
  <si>
    <t>8682450</t>
  </si>
  <si>
    <t>王震</t>
  </si>
  <si>
    <t>8682764</t>
  </si>
  <si>
    <t>王署庸</t>
  </si>
  <si>
    <t>8682766</t>
  </si>
  <si>
    <t>蒋振勇</t>
  </si>
  <si>
    <t>8682767</t>
  </si>
  <si>
    <t>马海宁</t>
  </si>
  <si>
    <t>8682845</t>
  </si>
  <si>
    <t>8682846</t>
  </si>
  <si>
    <t>刘利伟</t>
  </si>
  <si>
    <t>8682847</t>
  </si>
  <si>
    <t>蒋岳松</t>
  </si>
  <si>
    <t>8682850</t>
  </si>
  <si>
    <t>高广达</t>
  </si>
  <si>
    <t>8682853</t>
  </si>
  <si>
    <t>尤海梅</t>
  </si>
  <si>
    <t>8682892</t>
  </si>
  <si>
    <t>杜天明</t>
  </si>
  <si>
    <t>8682902</t>
  </si>
  <si>
    <t>刘柏林</t>
  </si>
  <si>
    <t>8682903</t>
  </si>
  <si>
    <t>陈明亮</t>
  </si>
  <si>
    <t>8682904</t>
  </si>
  <si>
    <t>陈闯</t>
  </si>
  <si>
    <t>8682860</t>
  </si>
  <si>
    <t>郭同富</t>
  </si>
  <si>
    <t>8682907</t>
  </si>
  <si>
    <t>宋祥雨</t>
  </si>
  <si>
    <t>8682894</t>
  </si>
  <si>
    <t>侯亮</t>
  </si>
  <si>
    <t>8682879</t>
  </si>
  <si>
    <t>陈小超</t>
  </si>
  <si>
    <t>8661881</t>
  </si>
  <si>
    <t>朱梦双</t>
  </si>
  <si>
    <t>8683007</t>
  </si>
  <si>
    <t>谭强</t>
  </si>
  <si>
    <t>8683013</t>
  </si>
  <si>
    <t>宋柏锋</t>
  </si>
  <si>
    <t>8683015</t>
  </si>
  <si>
    <t>丁忠生</t>
  </si>
  <si>
    <t>8683016</t>
  </si>
  <si>
    <t>杨群</t>
  </si>
  <si>
    <t>8683019</t>
  </si>
  <si>
    <t>温玉奇</t>
  </si>
  <si>
    <t>8683026</t>
  </si>
  <si>
    <t>叶野</t>
  </si>
  <si>
    <t>8683030</t>
  </si>
  <si>
    <t>李晓东</t>
  </si>
  <si>
    <t>8683045</t>
  </si>
  <si>
    <t>吴帅</t>
  </si>
  <si>
    <t>8683049</t>
  </si>
  <si>
    <t>滕海鹏</t>
  </si>
  <si>
    <t>8683051</t>
  </si>
  <si>
    <t>邵帅</t>
  </si>
  <si>
    <t>8683056</t>
  </si>
  <si>
    <t>周野</t>
  </si>
  <si>
    <t>8683057</t>
  </si>
  <si>
    <t>李双</t>
  </si>
  <si>
    <t>8683060</t>
  </si>
  <si>
    <t>沙迪</t>
  </si>
  <si>
    <t>8683064</t>
  </si>
  <si>
    <t>8683069</t>
  </si>
  <si>
    <t>王剑</t>
  </si>
  <si>
    <t>8683076</t>
  </si>
  <si>
    <t>潘琢</t>
  </si>
  <si>
    <t>8683082</t>
  </si>
  <si>
    <t>李洋</t>
  </si>
  <si>
    <t>8683084</t>
  </si>
  <si>
    <t>8683099</t>
  </si>
  <si>
    <t>万家彬</t>
  </si>
  <si>
    <t>8683044</t>
  </si>
  <si>
    <t>谷晋芳</t>
  </si>
  <si>
    <t>8683101</t>
  </si>
  <si>
    <t>田青</t>
  </si>
  <si>
    <t>8683718</t>
  </si>
  <si>
    <t>8683716</t>
  </si>
  <si>
    <t>张莉渤</t>
  </si>
  <si>
    <t>8683725</t>
  </si>
  <si>
    <t>张鹿鹿</t>
  </si>
  <si>
    <t>8684022</t>
  </si>
  <si>
    <t>徐硕</t>
  </si>
  <si>
    <t>8684025</t>
  </si>
  <si>
    <t>宋永鑫</t>
  </si>
  <si>
    <t>8612613</t>
  </si>
  <si>
    <t>杨进朝</t>
  </si>
  <si>
    <t>8684650</t>
  </si>
  <si>
    <t>庄园</t>
  </si>
  <si>
    <t>8684707</t>
  </si>
  <si>
    <t>宋欣慧</t>
  </si>
  <si>
    <t>8684712</t>
  </si>
  <si>
    <t>姚吉强</t>
  </si>
  <si>
    <t>8684714</t>
  </si>
  <si>
    <t>张浩</t>
  </si>
  <si>
    <t>8684711</t>
  </si>
  <si>
    <t>刘树森</t>
  </si>
  <si>
    <t>8681737</t>
  </si>
  <si>
    <t>孙鹏</t>
  </si>
  <si>
    <t>8681679</t>
  </si>
  <si>
    <t>吕纯鑫</t>
  </si>
  <si>
    <t>8682883</t>
  </si>
  <si>
    <t>刘传龙</t>
  </si>
  <si>
    <t>8683037</t>
  </si>
  <si>
    <t>刘德海</t>
  </si>
  <si>
    <t>8685666</t>
  </si>
  <si>
    <t>吴子林</t>
  </si>
  <si>
    <t>8685667</t>
  </si>
  <si>
    <t>于宝良</t>
  </si>
  <si>
    <t>8685669</t>
  </si>
  <si>
    <t>汪星钰</t>
  </si>
  <si>
    <t>8685671</t>
  </si>
  <si>
    <t>任宏达</t>
  </si>
  <si>
    <t>8685711</t>
  </si>
  <si>
    <t>8685659</t>
  </si>
  <si>
    <t>李东旭</t>
  </si>
  <si>
    <t>8685639</t>
  </si>
  <si>
    <t>王福成</t>
  </si>
  <si>
    <t>8685640</t>
  </si>
  <si>
    <t>王东岩</t>
  </si>
  <si>
    <t>8685651</t>
  </si>
  <si>
    <t>辛国立</t>
  </si>
  <si>
    <t>8685652</t>
  </si>
  <si>
    <t>孙继愈</t>
  </si>
  <si>
    <t>8685655</t>
  </si>
  <si>
    <t>张贺</t>
  </si>
  <si>
    <t>8685630</t>
  </si>
  <si>
    <t>张阳</t>
  </si>
  <si>
    <t>8685766</t>
  </si>
  <si>
    <t>李亚龙</t>
  </si>
  <si>
    <t>8685785</t>
  </si>
  <si>
    <t>孙哲</t>
  </si>
  <si>
    <t>8685792</t>
  </si>
  <si>
    <t>王健</t>
  </si>
  <si>
    <t>8685779</t>
  </si>
  <si>
    <t>程显阳</t>
  </si>
  <si>
    <t>8683570</t>
  </si>
  <si>
    <t>李超</t>
  </si>
  <si>
    <t>8685759</t>
  </si>
  <si>
    <t>王腾</t>
  </si>
  <si>
    <t>8685755</t>
  </si>
  <si>
    <t>户磊</t>
  </si>
  <si>
    <t>8685677</t>
  </si>
  <si>
    <t>商亮</t>
  </si>
  <si>
    <t>8685732</t>
  </si>
  <si>
    <t>冯中帅</t>
  </si>
  <si>
    <t>8685636</t>
  </si>
  <si>
    <t>潘浩</t>
  </si>
  <si>
    <t>8685734</t>
  </si>
  <si>
    <t>郑保东</t>
  </si>
  <si>
    <t>8685735</t>
  </si>
  <si>
    <t>林旭</t>
  </si>
  <si>
    <t>8685637</t>
  </si>
  <si>
    <t>李昭阳</t>
  </si>
  <si>
    <t>8685621</t>
  </si>
  <si>
    <t>付强</t>
  </si>
  <si>
    <t>8685626</t>
  </si>
  <si>
    <t>张振才</t>
  </si>
  <si>
    <t>8685694</t>
  </si>
  <si>
    <t>8685744</t>
  </si>
  <si>
    <t>金佳玮</t>
  </si>
  <si>
    <t>8685681</t>
  </si>
  <si>
    <t>吴涛</t>
  </si>
  <si>
    <t>8685747</t>
  </si>
  <si>
    <t>吴长嗣</t>
  </si>
  <si>
    <t>8685684</t>
  </si>
  <si>
    <t>王为公</t>
  </si>
  <si>
    <t>8685686</t>
  </si>
  <si>
    <t>侯国强</t>
  </si>
  <si>
    <t>8685688</t>
  </si>
  <si>
    <t>姜磊</t>
  </si>
  <si>
    <t>8685691</t>
  </si>
  <si>
    <t>吕智强</t>
  </si>
  <si>
    <t>8683574</t>
  </si>
  <si>
    <t>王显军</t>
  </si>
  <si>
    <t>8685751</t>
  </si>
  <si>
    <t>郭圆方</t>
  </si>
  <si>
    <t>8685752</t>
  </si>
  <si>
    <t>刘强</t>
  </si>
  <si>
    <t>8685617</t>
  </si>
  <si>
    <t>王昱凯</t>
  </si>
  <si>
    <t>8685756</t>
  </si>
  <si>
    <t>邢伟</t>
  </si>
  <si>
    <t>8685611</t>
  </si>
  <si>
    <t>田俊岗</t>
  </si>
  <si>
    <t>8685760</t>
  </si>
  <si>
    <t>赵荣超</t>
  </si>
  <si>
    <t>8685718</t>
  </si>
  <si>
    <t>魏强</t>
  </si>
  <si>
    <t>8685770</t>
  </si>
  <si>
    <t>孙书立</t>
  </si>
  <si>
    <t>8685726</t>
  </si>
  <si>
    <t>郑永盟</t>
  </si>
  <si>
    <t>8685727</t>
  </si>
  <si>
    <t>贡蕴宁</t>
  </si>
  <si>
    <t>8685733</t>
  </si>
  <si>
    <t>陈乾</t>
  </si>
  <si>
    <t>8686081</t>
  </si>
  <si>
    <t>张项宇</t>
  </si>
  <si>
    <t>8686082</t>
  </si>
  <si>
    <t>孙广军</t>
  </si>
  <si>
    <t>8686083</t>
  </si>
  <si>
    <t>宋宪伟</t>
  </si>
  <si>
    <t>8686088</t>
  </si>
  <si>
    <t>韩泽润</t>
  </si>
  <si>
    <t>8686091</t>
  </si>
  <si>
    <t>冯殿富</t>
  </si>
  <si>
    <t>8686093</t>
  </si>
  <si>
    <t>李馥</t>
  </si>
  <si>
    <t>8686688</t>
  </si>
  <si>
    <t>沈世龙</t>
  </si>
  <si>
    <t>8686794</t>
  </si>
  <si>
    <t>宁宇</t>
  </si>
  <si>
    <t>8686796</t>
  </si>
  <si>
    <t>吕鹏</t>
  </si>
  <si>
    <t>8686799</t>
  </si>
  <si>
    <t>王国仲</t>
  </si>
  <si>
    <t>8686800</t>
  </si>
  <si>
    <t>李守一</t>
  </si>
  <si>
    <t>8686807</t>
  </si>
  <si>
    <t>黄春善</t>
  </si>
  <si>
    <t>8612525</t>
  </si>
  <si>
    <t>刘明华</t>
  </si>
  <si>
    <t>8612473</t>
  </si>
  <si>
    <t>8680043</t>
  </si>
  <si>
    <t>张宏图</t>
  </si>
  <si>
    <t>8687689</t>
  </si>
  <si>
    <t>孙海峰</t>
  </si>
  <si>
    <t>8687692</t>
  </si>
  <si>
    <t>谢平</t>
  </si>
  <si>
    <t>8687693</t>
  </si>
  <si>
    <t>张鑫</t>
  </si>
  <si>
    <t>8687696</t>
  </si>
  <si>
    <t>霍庆硕</t>
  </si>
  <si>
    <t>8687713</t>
  </si>
  <si>
    <t>姜宝座</t>
  </si>
  <si>
    <t>8687711</t>
  </si>
  <si>
    <t>刘磊</t>
  </si>
  <si>
    <t>8613672</t>
  </si>
  <si>
    <t>张纪军</t>
  </si>
  <si>
    <t>8655655</t>
  </si>
  <si>
    <t>张伟</t>
  </si>
  <si>
    <t>8612523</t>
  </si>
  <si>
    <t>李子辉</t>
  </si>
  <si>
    <t>8683632</t>
  </si>
  <si>
    <t>艾泽宏</t>
  </si>
  <si>
    <t>8688871</t>
  </si>
  <si>
    <t>8688872</t>
  </si>
  <si>
    <t>赵家宇</t>
  </si>
  <si>
    <t>8688875</t>
  </si>
  <si>
    <t>马春震</t>
  </si>
  <si>
    <t>总装科（借调党群）</t>
  </si>
  <si>
    <t>8688878</t>
  </si>
  <si>
    <t>李俊</t>
  </si>
  <si>
    <t>8688956</t>
  </si>
  <si>
    <t>王连贺</t>
  </si>
  <si>
    <t>8688959</t>
  </si>
  <si>
    <t>王欣宇</t>
  </si>
  <si>
    <t>8688963</t>
  </si>
  <si>
    <t>张继</t>
  </si>
  <si>
    <t>8688966</t>
  </si>
  <si>
    <t>胡子瑜</t>
  </si>
  <si>
    <t>8688967</t>
  </si>
  <si>
    <t>杨欢</t>
  </si>
  <si>
    <t>8689146</t>
  </si>
  <si>
    <t>徐修国</t>
  </si>
  <si>
    <t>8689148</t>
  </si>
  <si>
    <t>陈昭宇</t>
  </si>
  <si>
    <t>8689149</t>
  </si>
  <si>
    <t>董磊</t>
  </si>
  <si>
    <t>8690397</t>
  </si>
  <si>
    <t>王寰宇</t>
  </si>
  <si>
    <t>8690398</t>
  </si>
  <si>
    <t>迟浩</t>
  </si>
  <si>
    <t>8690399</t>
  </si>
  <si>
    <t>李宏旭</t>
  </si>
  <si>
    <t>8690400</t>
  </si>
  <si>
    <t>杨俊鹏</t>
  </si>
  <si>
    <t>8690937</t>
  </si>
  <si>
    <t>郑翼</t>
  </si>
  <si>
    <t>8690944</t>
  </si>
  <si>
    <t>马跃</t>
  </si>
  <si>
    <t>8690951</t>
  </si>
  <si>
    <t>江海飞</t>
  </si>
  <si>
    <t>8691460</t>
  </si>
  <si>
    <t>贺遵聿</t>
  </si>
  <si>
    <t>8691471</t>
  </si>
  <si>
    <t>翟一潼</t>
  </si>
  <si>
    <t>8691476</t>
  </si>
  <si>
    <t>刘长振</t>
  </si>
  <si>
    <t>8691482</t>
  </si>
  <si>
    <t>张岳</t>
  </si>
  <si>
    <t>8691485</t>
  </si>
  <si>
    <t>张雪</t>
  </si>
  <si>
    <t>8691778</t>
  </si>
  <si>
    <t>杨钊</t>
  </si>
  <si>
    <t>8691857</t>
  </si>
  <si>
    <t>吴春山</t>
  </si>
  <si>
    <t>8691864</t>
  </si>
  <si>
    <t>徐健</t>
  </si>
  <si>
    <t>8691871</t>
  </si>
  <si>
    <t>张莉</t>
  </si>
  <si>
    <t>8692066</t>
  </si>
  <si>
    <t>田佳星</t>
  </si>
  <si>
    <t>8692397</t>
  </si>
  <si>
    <t>赵浩燃</t>
  </si>
  <si>
    <t>8692617</t>
  </si>
  <si>
    <t>史佳宝</t>
  </si>
  <si>
    <t>8692621</t>
  </si>
  <si>
    <t>吕会</t>
  </si>
  <si>
    <t>8692639</t>
  </si>
  <si>
    <t>陈仁杰</t>
  </si>
  <si>
    <t>8692642</t>
  </si>
  <si>
    <t>王通书</t>
  </si>
  <si>
    <t>8692863</t>
  </si>
  <si>
    <t>李勇</t>
  </si>
  <si>
    <t>8692872</t>
  </si>
  <si>
    <t>吴玮桐</t>
  </si>
  <si>
    <t>8692899</t>
  </si>
  <si>
    <t>赵振宇</t>
  </si>
  <si>
    <t>8692904</t>
  </si>
  <si>
    <t>倪港</t>
  </si>
  <si>
    <t>8692905</t>
  </si>
  <si>
    <t>赵宇磊</t>
  </si>
  <si>
    <t>8692907</t>
  </si>
  <si>
    <t>韩合龙</t>
  </si>
  <si>
    <t>8692676</t>
  </si>
  <si>
    <t>王洪鹏</t>
  </si>
  <si>
    <t>8693242</t>
  </si>
  <si>
    <t>路通</t>
  </si>
  <si>
    <t>8693597</t>
  </si>
  <si>
    <t>王学良</t>
  </si>
  <si>
    <t>8693655</t>
  </si>
  <si>
    <t>王晓东</t>
  </si>
  <si>
    <t>8693599</t>
  </si>
  <si>
    <t>刘少帅</t>
  </si>
  <si>
    <t>8694001</t>
  </si>
  <si>
    <t>盖启东</t>
  </si>
  <si>
    <t>8694014</t>
  </si>
  <si>
    <t>王成龙</t>
  </si>
  <si>
    <t>8694026</t>
  </si>
  <si>
    <t>祝红雨</t>
  </si>
  <si>
    <t>8694029</t>
  </si>
  <si>
    <t>韩雷</t>
  </si>
  <si>
    <t>8694030</t>
  </si>
  <si>
    <t>王春颐</t>
  </si>
  <si>
    <t>8694217</t>
  </si>
  <si>
    <t>高金鑫</t>
  </si>
  <si>
    <t>8694241</t>
  </si>
  <si>
    <t>郑家学</t>
  </si>
  <si>
    <t>8694220</t>
  </si>
  <si>
    <t>孙振林</t>
  </si>
  <si>
    <t>8694516</t>
  </si>
  <si>
    <t>姜道林</t>
  </si>
  <si>
    <t>8694715</t>
  </si>
  <si>
    <t>张永波</t>
  </si>
  <si>
    <t>8694810</t>
  </si>
  <si>
    <t>宋华伦</t>
  </si>
  <si>
    <t>8694706</t>
  </si>
  <si>
    <t>孙冬</t>
  </si>
  <si>
    <t>8694835</t>
  </si>
  <si>
    <t>韩东</t>
  </si>
  <si>
    <t>8694844</t>
  </si>
  <si>
    <t>赵雪城</t>
  </si>
  <si>
    <t>8694900</t>
  </si>
  <si>
    <t>王明伟</t>
  </si>
  <si>
    <t>8695144</t>
  </si>
  <si>
    <t>李双龙</t>
  </si>
  <si>
    <t>8695433</t>
  </si>
  <si>
    <t>8695443</t>
  </si>
  <si>
    <t>刘程</t>
  </si>
  <si>
    <t>8695745</t>
  </si>
  <si>
    <t>单元方</t>
  </si>
  <si>
    <t>8695746</t>
  </si>
  <si>
    <t>于明生</t>
  </si>
  <si>
    <t>8695754</t>
  </si>
  <si>
    <t>冷兴达</t>
  </si>
  <si>
    <t>8697460</t>
  </si>
  <si>
    <t>刘卓</t>
  </si>
  <si>
    <t>8697471</t>
  </si>
  <si>
    <t>邢袁恺</t>
  </si>
  <si>
    <t>8697457</t>
  </si>
  <si>
    <t>乔亚楠</t>
  </si>
  <si>
    <t>8697576</t>
  </si>
  <si>
    <t>张建华</t>
  </si>
  <si>
    <t>8697577</t>
  </si>
  <si>
    <t>王伟东</t>
  </si>
  <si>
    <t>8697579</t>
  </si>
  <si>
    <t>白云峰</t>
  </si>
  <si>
    <t>8697726</t>
  </si>
  <si>
    <t>张潇铂</t>
  </si>
  <si>
    <t>8698117</t>
  </si>
  <si>
    <t>张士超</t>
  </si>
  <si>
    <t>8698156</t>
  </si>
  <si>
    <t>郝道毅</t>
  </si>
  <si>
    <t>8698125</t>
  </si>
  <si>
    <t>隋政鑫</t>
  </si>
  <si>
    <t>8698456</t>
  </si>
  <si>
    <t>8698535</t>
  </si>
  <si>
    <t>石行健</t>
  </si>
  <si>
    <t>8698679</t>
  </si>
  <si>
    <t>宋奇林</t>
  </si>
  <si>
    <t>8700494</t>
  </si>
  <si>
    <t>8700479</t>
  </si>
  <si>
    <t>赵园</t>
  </si>
  <si>
    <t>8699958</t>
  </si>
  <si>
    <t>伊恩泽</t>
  </si>
  <si>
    <t>8652385</t>
  </si>
  <si>
    <t>闫文涛</t>
  </si>
  <si>
    <t>8613632</t>
  </si>
  <si>
    <t>张猛</t>
  </si>
  <si>
    <t>8700954</t>
  </si>
  <si>
    <t>杜春涛</t>
  </si>
  <si>
    <t>8700986</t>
  </si>
  <si>
    <t>孙燚楠</t>
  </si>
  <si>
    <t>8701414</t>
  </si>
  <si>
    <t>茹文亮</t>
  </si>
  <si>
    <t>8701454</t>
  </si>
  <si>
    <t>李辰昊</t>
  </si>
  <si>
    <t>8707477</t>
  </si>
  <si>
    <t>李祥</t>
  </si>
  <si>
    <t>8707519</t>
  </si>
  <si>
    <t>郑永达</t>
  </si>
  <si>
    <t>8707521</t>
  </si>
  <si>
    <t>马贤阳</t>
  </si>
  <si>
    <t>8707523</t>
  </si>
  <si>
    <t>高文博</t>
  </si>
  <si>
    <t>8710355</t>
  </si>
  <si>
    <t>李子龙</t>
  </si>
  <si>
    <t>8713254</t>
  </si>
  <si>
    <t>姜殿政</t>
  </si>
  <si>
    <t>8715521</t>
  </si>
  <si>
    <t>李佳伟</t>
  </si>
  <si>
    <t>8715536</t>
  </si>
  <si>
    <t>赵鑫磊</t>
  </si>
  <si>
    <t>8718355</t>
  </si>
  <si>
    <t>徐富健</t>
  </si>
  <si>
    <t>8676666</t>
  </si>
  <si>
    <t>刘吉壮</t>
  </si>
  <si>
    <t>8613564</t>
  </si>
  <si>
    <t>李桂民</t>
  </si>
  <si>
    <t>8615171</t>
  </si>
  <si>
    <t>解军</t>
  </si>
  <si>
    <t>8679211</t>
  </si>
  <si>
    <t>宋洪涛</t>
  </si>
  <si>
    <t>8680037</t>
  </si>
  <si>
    <t>蒲亮</t>
  </si>
  <si>
    <t>8679939</t>
  </si>
  <si>
    <t>黄建明</t>
  </si>
  <si>
    <t>8612670</t>
  </si>
  <si>
    <t>杜永端</t>
  </si>
  <si>
    <t>8685753</t>
  </si>
  <si>
    <t>王世有</t>
  </si>
  <si>
    <t>8693591</t>
  </si>
  <si>
    <t>宋明山</t>
  </si>
  <si>
    <t>8695198</t>
  </si>
  <si>
    <t>贺云</t>
  </si>
  <si>
    <t>8676600</t>
  </si>
  <si>
    <t>8681036</t>
  </si>
  <si>
    <t>齐宁</t>
  </si>
  <si>
    <t>8681208</t>
  </si>
  <si>
    <t>朱明健</t>
  </si>
  <si>
    <t>8681420</t>
  </si>
  <si>
    <t>刘冶</t>
  </si>
  <si>
    <t>8681631</t>
  </si>
  <si>
    <t>8682068</t>
  </si>
  <si>
    <t>陈跃航</t>
  </si>
  <si>
    <t>8682849</t>
  </si>
  <si>
    <t>贺广新</t>
  </si>
  <si>
    <t>8685624</t>
  </si>
  <si>
    <t>陆凡林</t>
  </si>
  <si>
    <t>8693243</t>
  </si>
  <si>
    <t>张锡舜</t>
  </si>
  <si>
    <t>8714839</t>
  </si>
  <si>
    <t>刘浩宇</t>
  </si>
  <si>
    <t>8676659</t>
  </si>
  <si>
    <t>徐桢洋</t>
  </si>
  <si>
    <t>8614645</t>
  </si>
  <si>
    <t>孙俊杰</t>
  </si>
  <si>
    <t>8613660</t>
  </si>
  <si>
    <t>朱明峰</t>
  </si>
  <si>
    <t>8679212</t>
  </si>
  <si>
    <t>龙雨</t>
  </si>
  <si>
    <t>8679239</t>
  </si>
  <si>
    <t>张生旭</t>
  </si>
  <si>
    <t>8679282</t>
  </si>
  <si>
    <t>丛培超</t>
  </si>
  <si>
    <t>8681226</t>
  </si>
  <si>
    <t>杨文博</t>
  </si>
  <si>
    <t>8682917</t>
  </si>
  <si>
    <t>茹策</t>
  </si>
  <si>
    <t>8683715</t>
  </si>
  <si>
    <t>王鹏业</t>
  </si>
  <si>
    <t>8685712</t>
  </si>
  <si>
    <t>陈连成</t>
  </si>
  <si>
    <t>8685738</t>
  </si>
  <si>
    <t>张赢</t>
  </si>
  <si>
    <t>8691158</t>
  </si>
  <si>
    <t>焦建</t>
  </si>
  <si>
    <t>8676629</t>
  </si>
  <si>
    <t>8613743</t>
  </si>
  <si>
    <t>王文军</t>
  </si>
  <si>
    <t>8679237</t>
  </si>
  <si>
    <t>王鹏伟</t>
  </si>
  <si>
    <t>8680008</t>
  </si>
  <si>
    <t>刘松</t>
  </si>
  <si>
    <t>8680032</t>
  </si>
  <si>
    <t>赵宇</t>
  </si>
  <si>
    <t>8681150</t>
  </si>
  <si>
    <t>郭成亮</t>
  </si>
  <si>
    <t>8686089</t>
  </si>
  <si>
    <t>周连健</t>
  </si>
  <si>
    <t>8664577</t>
  </si>
  <si>
    <t>武智旭</t>
  </si>
  <si>
    <t>8680047</t>
  </si>
  <si>
    <t>梁庆森</t>
  </si>
  <si>
    <t>8679852</t>
  </si>
  <si>
    <t>郭旭</t>
  </si>
  <si>
    <t>8620607</t>
  </si>
  <si>
    <t>王晶</t>
  </si>
  <si>
    <t>8690945</t>
  </si>
  <si>
    <t>郑宝国</t>
  </si>
  <si>
    <t>冲焊党支部员工生日提醒</t>
  </si>
  <si>
    <t>工料废自动记账</t>
  </si>
  <si>
    <t>大连工厂改善创新积分制规则答疑</t>
  </si>
  <si>
    <t>树脂科数字点检自动导出分析</t>
  </si>
  <si>
    <t>王洋</t>
    <phoneticPr fontId="1" type="noConversion"/>
  </si>
  <si>
    <t>王晓冬</t>
    <phoneticPr fontId="1" type="noConversion"/>
  </si>
  <si>
    <t>康明聪</t>
    <phoneticPr fontId="1" type="noConversion"/>
  </si>
  <si>
    <t>离职解除证明的用章申请</t>
    <phoneticPr fontId="1" type="noConversion"/>
  </si>
  <si>
    <t>TQMP在线问题点自动预警</t>
    <phoneticPr fontId="1" type="noConversion"/>
  </si>
  <si>
    <t>许红科</t>
    <phoneticPr fontId="1" type="noConversion"/>
  </si>
  <si>
    <t>重点课题</t>
  </si>
  <si>
    <t>国家专利受理</t>
  </si>
  <si>
    <t>发明专利</t>
  </si>
  <si>
    <t>一种汽车大灯支架的定位连接工艺</t>
    <phoneticPr fontId="1" type="noConversion"/>
  </si>
  <si>
    <t>多螺母拧紧机</t>
    <phoneticPr fontId="1" type="noConversion"/>
  </si>
  <si>
    <t>电极帽或其它需要旋转拆卸的轴类元件自动拆卸装置</t>
    <phoneticPr fontId="1" type="noConversion"/>
  </si>
  <si>
    <t>一种上下电极帽的自动供料装置</t>
    <phoneticPr fontId="1" type="noConversion"/>
  </si>
  <si>
    <t>种可校正车体前后地板螺柱位置的轻量化治具</t>
    <phoneticPr fontId="1" type="noConversion"/>
  </si>
  <si>
    <t>实用新型</t>
  </si>
  <si>
    <t>张哲</t>
    <phoneticPr fontId="1" type="noConversion"/>
  </si>
  <si>
    <t>杨艳宝</t>
    <phoneticPr fontId="1" type="noConversion"/>
  </si>
  <si>
    <t>李东坪</t>
    <phoneticPr fontId="1" type="noConversion"/>
  </si>
  <si>
    <t>曲叶超</t>
    <phoneticPr fontId="1" type="noConversion"/>
  </si>
  <si>
    <t>标杆精益改善大赛东北区分赛一等奖(存在特等奖)</t>
    <phoneticPr fontId="1" type="noConversion"/>
  </si>
  <si>
    <t>焊装车间新媒体工作AI机器人助手</t>
  </si>
  <si>
    <t>色差分析助手</t>
  </si>
  <si>
    <t>VOC无线通讯报警</t>
  </si>
  <si>
    <t>技术知识库建立</t>
  </si>
  <si>
    <t>生产数据统计分析</t>
    <phoneticPr fontId="1" type="noConversion"/>
  </si>
  <si>
    <t>大连工厂数字员工发布数量通报</t>
  </si>
  <si>
    <t>工时效率指标自动计算</t>
  </si>
  <si>
    <t>车体3D/建付数据自动分析日报生成及发送</t>
  </si>
  <si>
    <t>前后工程联动数据自动生成</t>
  </si>
  <si>
    <t>检查数据清理小弟</t>
  </si>
  <si>
    <t>PPT/pdf转World助手（文字提取机器人）</t>
  </si>
  <si>
    <t>DL-ZZ-数字化点检分析</t>
  </si>
  <si>
    <t>通过关键词搜索并打开需要的工艺文件</t>
  </si>
  <si>
    <t>提升生产信息传递效率</t>
  </si>
  <si>
    <t>表格内容自动查询</t>
  </si>
  <si>
    <t>冲焊车间重点点检数据推移</t>
  </si>
  <si>
    <t>DOA离职报表每日自动下载</t>
  </si>
  <si>
    <t>冲压生产信息流程自动化</t>
  </si>
  <si>
    <t>制动液加注机数据分析助手</t>
  </si>
  <si>
    <t>P32S 要因系管理数据分析助手</t>
  </si>
  <si>
    <t>环境在线监测数据发布自动化</t>
  </si>
  <si>
    <t>喷涂不良智能化分析及改善方向引导</t>
  </si>
  <si>
    <t>总装底盘视觉检查系统文件自动清理</t>
  </si>
  <si>
    <t>轮胎对中台劣化趋势分析软件</t>
  </si>
  <si>
    <t>焊装工艺参数读写与筛选</t>
  </si>
  <si>
    <t>模具巡线记录分析系统</t>
  </si>
  <si>
    <t>涂装点检自动分析提醒</t>
  </si>
  <si>
    <t>庄昌敏</t>
  </si>
  <si>
    <t>签办付款代扣代缴个税邮件提示</t>
    <phoneticPr fontId="1" type="noConversion"/>
  </si>
  <si>
    <t>DMD诊断进度提醒</t>
  </si>
  <si>
    <t>290#骨骼数据预测车体建付</t>
  </si>
  <si>
    <t>备件管理系统</t>
  </si>
  <si>
    <t>DOA员工调动报表每日自动下载</t>
  </si>
  <si>
    <t>控制模块报文分析</t>
  </si>
  <si>
    <t>离职登记自动化</t>
  </si>
  <si>
    <t>SAP自动上载数据</t>
  </si>
  <si>
    <t>DFN安全环保管理基准助手</t>
  </si>
  <si>
    <t>车间生产区域摄像头对人员劳保穿戴的检查</t>
  </si>
  <si>
    <t>区域级/省级奖项</t>
  </si>
  <si>
    <t>基于利润中心模式下整车制造企业降本增效实施</t>
  </si>
  <si>
    <t>基于敏捷智造理念推动整车制造工厂数字化转型</t>
  </si>
  <si>
    <t>整车制造工厂健康企业管理机制的构建与实践</t>
  </si>
  <si>
    <t>全员质量参与激励机制的游戏化管理实施</t>
  </si>
  <si>
    <t>安全双重预防机制数字化管理模型的构建与应用</t>
  </si>
  <si>
    <t>整车制造工厂焊接车间机器人节能管理</t>
  </si>
  <si>
    <t>整车制造工厂灵活生产组织方式应用与实践</t>
  </si>
  <si>
    <t>利用新媒体扩大整车制造企业影响力的探索与实践</t>
  </si>
  <si>
    <t>整车制造企业转型期人员管理优化</t>
  </si>
  <si>
    <t>第一名</t>
  </si>
  <si>
    <t>第三名</t>
  </si>
  <si>
    <t>金普新区“工匠杯”职业技能竞赛（装配钳工赛项）</t>
    <phoneticPr fontId="1" type="noConversion"/>
  </si>
  <si>
    <t>辽宁省工业机器人职工职业技能大赛</t>
    <phoneticPr fontId="1" type="noConversion"/>
  </si>
  <si>
    <t>辽宁省企业管理创新成果</t>
    <phoneticPr fontId="1" type="noConversion"/>
  </si>
  <si>
    <t>大连市企业管理创新成果</t>
    <phoneticPr fontId="1" type="noConversion"/>
  </si>
  <si>
    <t>DL工厂OA热点推送自动化</t>
  </si>
  <si>
    <t>DL总装改善数据自动化下载</t>
  </si>
  <si>
    <t>精密测试数据上传TQPM系统自动化导入</t>
  </si>
  <si>
    <t>RPA_1_QRQC自动更新机器人</t>
  </si>
  <si>
    <t>GTC技能大赛</t>
    <phoneticPr fontId="1" type="noConversion"/>
  </si>
  <si>
    <t>于洪军</t>
    <phoneticPr fontId="1" type="noConversion"/>
  </si>
  <si>
    <t>N7市场TR自动分析及日报发送</t>
  </si>
  <si>
    <t>DL总装品质数据自动化下载</t>
  </si>
  <si>
    <t>涂树信息平台-返工信息录入追溯</t>
  </si>
  <si>
    <t>QIC单临期自动提醒</t>
  </si>
  <si>
    <t>大连工厂工会助手</t>
  </si>
  <si>
    <t>力矩校正仪无线传输数据</t>
  </si>
  <si>
    <t>DL焊装滚边工艺机器人涂折边胶参数的提取</t>
  </si>
  <si>
    <t>员工培训咨询事项指引</t>
  </si>
  <si>
    <t>整车品质问题及解析对策查询助手</t>
  </si>
  <si>
    <t>最大转向角信息自动录入</t>
  </si>
  <si>
    <t>职业健康档案一页纸</t>
  </si>
  <si>
    <t>一岗双责执行清单预警提示</t>
  </si>
  <si>
    <t>大连工厂计划内工时预测</t>
  </si>
  <si>
    <t>路试检查日报自动发送</t>
  </si>
  <si>
    <t>每日OFF-VES评价报表商品化检出率日报邮件自动发送</t>
  </si>
  <si>
    <t>品质信息全员推送</t>
  </si>
  <si>
    <t>商、检、路班组指摘问题自动发送机器人</t>
  </si>
  <si>
    <t>车体颜色趋势数字化管理</t>
  </si>
  <si>
    <t>自动分发生产计划</t>
  </si>
  <si>
    <t>团委年度工作推进管控机器人</t>
  </si>
  <si>
    <t>pumas未纳自动发送</t>
  </si>
  <si>
    <t>HPU日动态管控</t>
  </si>
  <si>
    <t>刘荣</t>
    <phoneticPr fontId="1" type="noConversion"/>
  </si>
  <si>
    <t>邹海兵</t>
    <phoneticPr fontId="1" type="noConversion"/>
  </si>
  <si>
    <t>李扬</t>
    <phoneticPr fontId="1" type="noConversion"/>
  </si>
  <si>
    <t>刘明华</t>
    <phoneticPr fontId="1" type="noConversion"/>
  </si>
  <si>
    <t>王兴军</t>
    <phoneticPr fontId="1" type="noConversion"/>
  </si>
  <si>
    <t>刘在荣</t>
    <phoneticPr fontId="1" type="noConversion"/>
  </si>
  <si>
    <t>王玉</t>
    <phoneticPr fontId="1" type="noConversion"/>
  </si>
  <si>
    <t>纪明达</t>
    <phoneticPr fontId="1" type="noConversion"/>
  </si>
  <si>
    <t>AVM、DCM后台long与生产信息自动匹对</t>
  </si>
  <si>
    <t>编外学习计划未实施项目明细查询及导出</t>
  </si>
  <si>
    <t>月度各科室层级单位学习参训情况查询及导出</t>
  </si>
  <si>
    <t>变速箱条码数字化</t>
  </si>
  <si>
    <t>防锈数据处理工作流</t>
  </si>
  <si>
    <t>学院当月内部讲师授课情况明细查询及导出</t>
  </si>
  <si>
    <t>年度整体学习计划实施情况查询及导出</t>
  </si>
  <si>
    <t>闫瑞乾</t>
    <phoneticPr fontId="1" type="noConversion"/>
  </si>
  <si>
    <t>殷亚强</t>
    <phoneticPr fontId="1" type="noConversion"/>
  </si>
  <si>
    <t>大连工厂计量器具智能管理系统</t>
  </si>
  <si>
    <t>四合一加注机数据分析助手</t>
  </si>
  <si>
    <t>成型工艺不良分析改善建议与指导</t>
  </si>
  <si>
    <t>品质月度分析报表一键生成</t>
  </si>
  <si>
    <t>涂装VOCs数据自动统计</t>
  </si>
  <si>
    <t>工作提醒小助手</t>
  </si>
  <si>
    <t>人员资质自动提醒流程</t>
  </si>
  <si>
    <t>何德财</t>
    <phoneticPr fontId="1" type="noConversion"/>
  </si>
  <si>
    <t>郭旭光</t>
    <phoneticPr fontId="1" type="noConversion"/>
  </si>
  <si>
    <t>曹建双</t>
    <phoneticPr fontId="1" type="noConversion"/>
  </si>
  <si>
    <t>闫瑞坤</t>
    <phoneticPr fontId="1" type="noConversion"/>
  </si>
  <si>
    <t>佟鑫凯</t>
    <phoneticPr fontId="1" type="noConversion"/>
  </si>
  <si>
    <t>2025东风日产EHS年度课题发表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</si>
</sst>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_);[Red]\(0.0\)"/>
    <numFmt numFmtId="178" formatCode="[$-F800]dddd\,\ mmmm\ dd\,\ yyyy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7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name val="黑体"/>
      <family val="3"/>
      <charset val="134"/>
    </font>
    <font>
      <b/>
      <sz val="12"/>
      <name val="黑体"/>
      <family val="3"/>
      <charset val="134"/>
    </font>
    <font>
      <b/>
      <sz val="10"/>
      <name val="黑体"/>
      <family val="3"/>
      <charset val="134"/>
    </font>
    <font>
      <b/>
      <sz val="14"/>
      <color theme="1"/>
      <name val="华文行楷"/>
      <family val="3"/>
      <charset val="134"/>
    </font>
    <font>
      <sz val="12"/>
      <color theme="1"/>
      <name val="华文行楷"/>
      <family val="3"/>
      <charset val="134"/>
    </font>
    <font>
      <sz val="12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/>
    <xf numFmtId="14" fontId="6" fillId="0" borderId="0" xfId="0" applyNumberFormat="1" applyFo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6" fillId="0" borderId="0" xfId="0" applyNumberFormat="1" applyFont="1"/>
    <xf numFmtId="176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76" fontId="9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7" fontId="13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6" fillId="0" borderId="0" xfId="0" applyNumberFormat="1" applyFont="1"/>
    <xf numFmtId="0" fontId="6" fillId="0" borderId="9" xfId="0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76" fontId="6" fillId="4" borderId="9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178" fontId="0" fillId="0" borderId="0" xfId="0" applyNumberFormat="1"/>
    <xf numFmtId="176" fontId="0" fillId="0" borderId="0" xfId="0" applyNumberFormat="1"/>
    <xf numFmtId="0" fontId="0" fillId="0" borderId="0" xfId="0" applyNumberFormat="1"/>
    <xf numFmtId="0" fontId="6" fillId="0" borderId="0" xfId="0" applyFont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2">
    <cellStyle name="常规" xfId="0" builtinId="0"/>
    <cellStyle name="常规 3 3" xfId="1" xr:uid="{3A30184B-61B5-44C0-9036-F89ED2370BBD}"/>
  </cellStyles>
  <dxfs count="592"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0.00_);[Red]\(0.00\)"/>
    </dxf>
    <dxf>
      <numFmt numFmtId="176" formatCode="0.00_);[Red]\(0.00\)"/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ont>
        <name val="黑体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name val="仿宋"/>
        <family val="3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ont>
        <color theme="0"/>
        <charset val="134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0.00_);[Red]\(0.00\)"/>
    </dxf>
    <dxf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  <numFmt numFmtId="176" formatCode="0.00_);[Red]\(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  <numFmt numFmtId="17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66675</xdr:rowOff>
    </xdr:from>
    <xdr:to>
      <xdr:col>10</xdr:col>
      <xdr:colOff>590550</xdr:colOff>
      <xdr:row>17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A59759F-233A-4E84-8924-6BFB4EC5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"/>
          <a:ext cx="8982075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272274\&#22823;&#36830;&#24037;&#21378;QCC&#20849;&#20139;\&#25913;&#21892;&#21019;&#26032;&#24037;&#20316;\2025&#24180;\&#25913;&#21892;&#21019;&#26032;&#31215;&#20998;&#35780;&#27604;\&#25913;&#21892;&#21019;&#26032;&#31215;&#20998;&#270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Details"/>
      <sheetName val="待评估"/>
      <sheetName val="person"/>
      <sheetName val="section"/>
      <sheetName val="Sheet1"/>
      <sheetName val="积分标准"/>
      <sheetName val="规则说明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外部获奖</v>
          </cell>
          <cell r="B2" t="str">
            <v>全球级/联盟级奖项</v>
          </cell>
          <cell r="C2" t="str">
            <v>一等奖</v>
          </cell>
          <cell r="D2">
            <v>6</v>
          </cell>
        </row>
        <row r="3">
          <cell r="A3" t="str">
            <v>外部获奖</v>
          </cell>
          <cell r="B3" t="str">
            <v>全球级/联盟级奖项</v>
          </cell>
          <cell r="C3" t="str">
            <v>二等奖</v>
          </cell>
          <cell r="D3">
            <v>5</v>
          </cell>
        </row>
        <row r="4">
          <cell r="A4" t="str">
            <v>外部获奖</v>
          </cell>
          <cell r="B4" t="str">
            <v>全球级/联盟级奖项</v>
          </cell>
          <cell r="C4" t="str">
            <v>三等奖</v>
          </cell>
          <cell r="D4">
            <v>4</v>
          </cell>
        </row>
        <row r="5">
          <cell r="A5" t="str">
            <v>外部获奖</v>
          </cell>
          <cell r="B5" t="str">
            <v>全球级/联盟级奖项</v>
          </cell>
          <cell r="C5" t="str">
            <v>综合奖项</v>
          </cell>
          <cell r="D5">
            <v>4</v>
          </cell>
        </row>
        <row r="6">
          <cell r="A6" t="str">
            <v>外部获奖</v>
          </cell>
          <cell r="B6" t="str">
            <v>全国级/DFG级奖项</v>
          </cell>
          <cell r="C6" t="str">
            <v>一等奖</v>
          </cell>
          <cell r="D6">
            <v>5</v>
          </cell>
        </row>
        <row r="7">
          <cell r="A7" t="str">
            <v>外部获奖</v>
          </cell>
          <cell r="B7" t="str">
            <v>全国级/DFG级奖项</v>
          </cell>
          <cell r="C7" t="str">
            <v>二等奖</v>
          </cell>
          <cell r="D7">
            <v>4</v>
          </cell>
        </row>
        <row r="8">
          <cell r="A8" t="str">
            <v>外部获奖</v>
          </cell>
          <cell r="B8" t="str">
            <v>全国级/DFG级奖项</v>
          </cell>
          <cell r="C8" t="str">
            <v>三等奖</v>
          </cell>
          <cell r="D8">
            <v>3</v>
          </cell>
        </row>
        <row r="9">
          <cell r="A9" t="str">
            <v>外部获奖</v>
          </cell>
          <cell r="B9" t="str">
            <v>全国级/DFG级奖项</v>
          </cell>
          <cell r="C9" t="str">
            <v>综合奖项</v>
          </cell>
          <cell r="D9">
            <v>3</v>
          </cell>
        </row>
        <row r="10">
          <cell r="A10" t="str">
            <v>外部获奖</v>
          </cell>
          <cell r="B10" t="str">
            <v>区域级/省级奖项</v>
          </cell>
          <cell r="C10" t="str">
            <v>一等奖</v>
          </cell>
          <cell r="D10">
            <v>4</v>
          </cell>
        </row>
        <row r="11">
          <cell r="A11" t="str">
            <v>外部获奖</v>
          </cell>
          <cell r="B11" t="str">
            <v>区域级/省级奖项</v>
          </cell>
          <cell r="C11" t="str">
            <v>二等奖</v>
          </cell>
          <cell r="D11">
            <v>3</v>
          </cell>
        </row>
        <row r="12">
          <cell r="A12" t="str">
            <v>外部获奖</v>
          </cell>
          <cell r="B12" t="str">
            <v>区域级/省级奖项</v>
          </cell>
          <cell r="C12" t="str">
            <v>三等奖</v>
          </cell>
          <cell r="D12">
            <v>2</v>
          </cell>
        </row>
        <row r="13">
          <cell r="A13" t="str">
            <v>外部获奖</v>
          </cell>
          <cell r="B13" t="str">
            <v>区域级/省级奖项</v>
          </cell>
          <cell r="C13" t="str">
            <v>综合奖项</v>
          </cell>
          <cell r="D13">
            <v>2</v>
          </cell>
        </row>
        <row r="14">
          <cell r="A14" t="str">
            <v>外部获奖</v>
          </cell>
          <cell r="B14" t="str">
            <v>DFN级/市级奖项</v>
          </cell>
          <cell r="C14" t="str">
            <v>一等奖</v>
          </cell>
          <cell r="D14">
            <v>3</v>
          </cell>
        </row>
        <row r="15">
          <cell r="A15" t="str">
            <v>外部获奖</v>
          </cell>
          <cell r="B15" t="str">
            <v>DFN级/市级奖项</v>
          </cell>
          <cell r="C15" t="str">
            <v>二等奖</v>
          </cell>
          <cell r="D15">
            <v>2</v>
          </cell>
        </row>
        <row r="16">
          <cell r="A16" t="str">
            <v>外部获奖</v>
          </cell>
          <cell r="B16" t="str">
            <v>DFN级/市级奖项</v>
          </cell>
          <cell r="C16" t="str">
            <v>三等奖</v>
          </cell>
          <cell r="D16">
            <v>1</v>
          </cell>
        </row>
        <row r="17">
          <cell r="A17" t="str">
            <v>外部获奖</v>
          </cell>
          <cell r="B17" t="str">
            <v>DFN级/市级奖项</v>
          </cell>
          <cell r="C17" t="str">
            <v>综合奖项</v>
          </cell>
          <cell r="D17">
            <v>1</v>
          </cell>
        </row>
        <row r="18">
          <cell r="A18" t="str">
            <v>外部获奖</v>
          </cell>
          <cell r="B18" t="str">
            <v>国家专利受理</v>
          </cell>
          <cell r="C18" t="str">
            <v>发明专利</v>
          </cell>
          <cell r="D18">
            <v>4</v>
          </cell>
        </row>
        <row r="19">
          <cell r="A19" t="str">
            <v>外部获奖</v>
          </cell>
          <cell r="B19" t="str">
            <v>国家专利受理</v>
          </cell>
          <cell r="C19" t="str">
            <v>实用新型</v>
          </cell>
          <cell r="D19">
            <v>3</v>
          </cell>
        </row>
        <row r="20">
          <cell r="A20" t="str">
            <v>外部获奖</v>
          </cell>
          <cell r="B20" t="str">
            <v>国家专利受理</v>
          </cell>
          <cell r="C20" t="str">
            <v>外观设计</v>
          </cell>
          <cell r="D20">
            <v>2</v>
          </cell>
        </row>
        <row r="21">
          <cell r="A21" t="str">
            <v>内部获奖</v>
          </cell>
          <cell r="B21" t="str">
            <v>工厂级QC发表获奖</v>
          </cell>
          <cell r="C21" t="str">
            <v>一等奖</v>
          </cell>
          <cell r="D21">
            <v>2.5</v>
          </cell>
        </row>
        <row r="22">
          <cell r="A22" t="str">
            <v>内部获奖</v>
          </cell>
          <cell r="B22" t="str">
            <v>工厂级QC发表获奖</v>
          </cell>
          <cell r="C22" t="str">
            <v>二等奖</v>
          </cell>
          <cell r="D22">
            <v>2</v>
          </cell>
        </row>
        <row r="23">
          <cell r="A23" t="str">
            <v>内部获奖</v>
          </cell>
          <cell r="B23" t="str">
            <v>工厂级QC发表获奖</v>
          </cell>
          <cell r="C23" t="str">
            <v>三等奖</v>
          </cell>
          <cell r="D23">
            <v>1.5</v>
          </cell>
        </row>
        <row r="24">
          <cell r="A24" t="str">
            <v>内部获奖</v>
          </cell>
          <cell r="B24" t="str">
            <v>改善功夫发表获奖</v>
          </cell>
          <cell r="C24" t="str">
            <v>一等奖</v>
          </cell>
          <cell r="D24">
            <v>1.5</v>
          </cell>
        </row>
        <row r="25">
          <cell r="A25" t="str">
            <v>内部获奖</v>
          </cell>
          <cell r="B25" t="str">
            <v>改善功夫发表获奖</v>
          </cell>
          <cell r="C25" t="str">
            <v>二等奖</v>
          </cell>
          <cell r="D25">
            <v>1</v>
          </cell>
        </row>
        <row r="26">
          <cell r="A26" t="str">
            <v>内部获奖</v>
          </cell>
          <cell r="B26" t="str">
            <v>改善功夫发表获奖</v>
          </cell>
          <cell r="C26" t="str">
            <v>三等奖</v>
          </cell>
          <cell r="D26">
            <v>0.5</v>
          </cell>
        </row>
        <row r="27">
          <cell r="A27" t="str">
            <v>内部获奖</v>
          </cell>
          <cell r="B27" t="str">
            <v>创享慧提案被外部门采纳</v>
          </cell>
          <cell r="C27" t="str">
            <v>一等奖</v>
          </cell>
          <cell r="D27">
            <v>0.5</v>
          </cell>
        </row>
        <row r="28">
          <cell r="A28" t="str">
            <v>内部获奖</v>
          </cell>
          <cell r="B28" t="str">
            <v>Top摘牌课题完成</v>
          </cell>
          <cell r="C28" t="str">
            <v>一等奖</v>
          </cell>
          <cell r="D28">
            <v>2</v>
          </cell>
        </row>
        <row r="29">
          <cell r="A29" t="str">
            <v>内部获奖</v>
          </cell>
          <cell r="B29" t="str">
            <v>数字化课题开发</v>
          </cell>
          <cell r="C29" t="str">
            <v>重点课题</v>
          </cell>
          <cell r="D29">
            <v>2</v>
          </cell>
        </row>
        <row r="30">
          <cell r="A30" t="str">
            <v>内部获奖</v>
          </cell>
          <cell r="B30" t="str">
            <v>数字化课题开发</v>
          </cell>
          <cell r="C30" t="str">
            <v>普通课题</v>
          </cell>
          <cell r="D30">
            <v>1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吴广超(Wu Guangchao,EMD)(东风汽车有限公司东风日产大连分公司工务部工业工程科)" refreshedDate="46013.376282523146" createdVersion="7" refreshedVersion="7" minRefreshableVersion="3" recordCount="178" xr:uid="{6E743637-18A6-4B9F-ADDA-30154AE4E030}">
  <cacheSource type="worksheet">
    <worksheetSource ref="A1:O1048576" sheet="获奖信息"/>
  </cacheSource>
  <cacheFields count="15">
    <cacheField name="序号" numFmtId="0">
      <sharedItems containsString="0" containsBlank="1" containsNumber="1" containsInteger="1" minValue="1" maxValue="177"/>
    </cacheField>
    <cacheField name="时间" numFmtId="14">
      <sharedItems containsNonDate="0" containsDate="1" containsString="0" containsBlank="1" minDate="2025-01-01T00:00:00" maxDate="2025-12-02T00:00:00"/>
    </cacheField>
    <cacheField name="科室" numFmtId="0">
      <sharedItems containsBlank="1" count="19">
        <s v="设备动力科"/>
        <s v="工业工程科"/>
        <s v="生产管理科"/>
        <s v="涂树科"/>
        <s v="冲焊科"/>
        <s v="品质保证科"/>
        <s v="总装科"/>
        <s v="技术科"/>
        <s v="大连财务科"/>
        <s v="安技环保科"/>
        <s v="大连部品科"/>
        <s v="综合管理科"/>
        <s v="党群工作室"/>
        <m/>
        <s v="焊装科" u="1"/>
        <s v="涂装科" u="1"/>
        <s v="财务科" u="1"/>
        <s v="人事总务科" u="1"/>
        <s v="部品科" u="1"/>
      </sharedItems>
    </cacheField>
    <cacheField name="获奖途径" numFmtId="0">
      <sharedItems containsBlank="1"/>
    </cacheField>
    <cacheField name="所获奖项分类" numFmtId="0">
      <sharedItems containsBlank="1"/>
    </cacheField>
    <cacheField name="所获奖项级别" numFmtId="0">
      <sharedItems containsBlank="1"/>
    </cacheField>
    <cacheField name="奖项名称" numFmtId="0">
      <sharedItems containsBlank="1"/>
    </cacheField>
    <cacheField name="符合“首次”奖励" numFmtId="0">
      <sharedItems containsBlank="1"/>
    </cacheField>
    <cacheField name="同课题总积分" numFmtId="0">
      <sharedItems containsString="0" containsBlank="1" containsNumber="1" minValue="0.5" maxValue="5"/>
    </cacheField>
    <cacheField name="获奖人姓名" numFmtId="0">
      <sharedItems containsBlank="1" count="108">
        <s v="王瑞林"/>
        <s v="师铮"/>
        <s v="唐小光"/>
        <s v="于勇"/>
        <s v="田晓明"/>
        <s v="王晓冬"/>
        <s v="李涛"/>
        <s v="王冠"/>
        <s v="鲁家嫡"/>
        <s v="于文书"/>
        <s v="赵晓明"/>
        <s v="祝益盛"/>
        <s v="王洋"/>
        <s v="迟健鹏"/>
        <s v="刘建勋"/>
        <s v="刘敬彬"/>
        <s v="于洪军"/>
        <s v="时守毅"/>
        <s v="宋畅"/>
        <s v="杨康"/>
        <s v="张洪宇"/>
        <s v="于慧缘"/>
        <s v="刘鹏"/>
        <s v="李春扬"/>
        <s v="邹晓霞"/>
        <s v="纪圣洋"/>
        <s v="李传钰"/>
        <s v="邢若飞"/>
        <s v="张程"/>
        <s v="李闯"/>
        <s v="汲浩铭"/>
        <s v="殷丞君"/>
        <s v="纪舒沫"/>
        <s v="乔传泉"/>
        <s v="谢天文"/>
        <s v="马骥"/>
        <s v="宋伟"/>
        <s v="丁友贺"/>
        <s v="纪明达"/>
        <s v="吴广超"/>
        <s v="冷洪来"/>
        <s v="鲍德宇"/>
        <s v="谭帅"/>
        <s v="马长亮"/>
        <s v="曹洪志"/>
        <s v="王琰"/>
        <s v="张奎"/>
        <s v="孙浩"/>
        <s v="隋君"/>
        <s v="康明聪"/>
        <s v="李绍卫"/>
        <s v="冯大俊"/>
        <s v="刘昇"/>
        <s v="曲叶超"/>
        <s v="柳菁"/>
        <s v="许红科"/>
        <s v="张哲"/>
        <s v="杨艳宝"/>
        <s v="李东坪"/>
        <s v="冯泽华"/>
        <s v="刘炜华"/>
        <s v="张琦"/>
        <s v="滕玉龙"/>
        <s v="于津"/>
        <s v="姚增广"/>
        <s v="杨波"/>
        <s v="赵伟"/>
        <s v="马永强"/>
        <s v="吕永琦"/>
        <s v="庄昌敏"/>
        <s v="杨廷奎"/>
        <s v="刘雨轩"/>
        <s v="谷金鑫"/>
        <s v="王忠秋"/>
        <s v="赵艳双"/>
        <s v="薛晶晶"/>
        <s v="边朝卿"/>
        <s v="李晓冉"/>
        <s v="张艺军"/>
        <s v="赵文生"/>
        <s v="王涛"/>
        <s v="王鸿君"/>
        <s v="王冬亮"/>
        <s v="李秉霖"/>
        <s v="马春震"/>
        <s v="史博文"/>
        <s v="卢献伟"/>
        <s v="姜宗远"/>
        <s v="潘峰"/>
        <s v="王元成"/>
        <s v="周洁"/>
        <s v="王波"/>
        <s v="华运崇"/>
        <s v="刘荣"/>
        <s v="邹海兵"/>
        <s v="李扬"/>
        <s v="刘明华"/>
        <s v="王兴军"/>
        <s v="刘在荣"/>
        <s v="王玉"/>
        <s v="闫瑞乾"/>
        <s v="殷亚强"/>
        <s v="郭旭光"/>
        <s v="何德财"/>
        <s v="曹建双"/>
        <s v="闫瑞坤"/>
        <s v="佟鑫凯"/>
        <m/>
      </sharedItems>
    </cacheField>
    <cacheField name="获奖人工号" numFmtId="0">
      <sharedItems containsString="0" containsBlank="1" containsNumber="1" containsInteger="1" minValue="8612473" maxValue="8730581"/>
    </cacheField>
    <cacheField name="备注" numFmtId="0">
      <sharedItems containsBlank="1"/>
    </cacheField>
    <cacheField name="占比计算" numFmtId="0">
      <sharedItems containsString="0" containsBlank="1" containsNumber="1" minValue="0.25" maxValue="600"/>
    </cacheField>
    <cacheField name="总额" numFmtId="0">
      <sharedItems containsString="0" containsBlank="1" containsNumber="1" containsInteger="1" minValue="1" maxValue="2000"/>
    </cacheField>
    <cacheField name="终值" numFmtId="176">
      <sharedItems containsString="0" containsBlank="1" containsNumber="1" minValue="7.5000000000000011E-2" maxValue="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1"/>
    <d v="2025-03-25T00:00:00"/>
    <x v="0"/>
    <s v="内部获奖"/>
    <s v="工厂级QC发表获奖"/>
    <s v="一等奖"/>
    <m/>
    <s v="否"/>
    <n v="2.5"/>
    <x v="0"/>
    <n v="8699083"/>
    <m/>
    <n v="280"/>
    <n v="2000"/>
    <n v="0.35000000000000003"/>
  </r>
  <r>
    <n v="2"/>
    <d v="2025-03-25T00:00:00"/>
    <x v="0"/>
    <s v="内部获奖"/>
    <s v="工厂级QC发表获奖"/>
    <s v="一等奖"/>
    <m/>
    <s v="否"/>
    <n v="2.5"/>
    <x v="1"/>
    <n v="8676014"/>
    <m/>
    <n v="280"/>
    <n v="2000"/>
    <n v="0.35000000000000003"/>
  </r>
  <r>
    <n v="3"/>
    <d v="2025-03-25T00:00:00"/>
    <x v="0"/>
    <s v="内部获奖"/>
    <s v="工厂级QC发表获奖"/>
    <s v="一等奖"/>
    <m/>
    <s v="否"/>
    <n v="2.5"/>
    <x v="2"/>
    <n v="8673997"/>
    <m/>
    <n v="280"/>
    <n v="2000"/>
    <n v="0.35000000000000003"/>
  </r>
  <r>
    <n v="4"/>
    <d v="2025-03-25T00:00:00"/>
    <x v="0"/>
    <s v="内部获奖"/>
    <s v="工厂级QC发表获奖"/>
    <s v="一等奖"/>
    <m/>
    <s v="否"/>
    <n v="2.5"/>
    <x v="3"/>
    <n v="8680311"/>
    <m/>
    <n v="280"/>
    <n v="2000"/>
    <n v="0.35000000000000003"/>
  </r>
  <r>
    <n v="5"/>
    <d v="2025-03-25T00:00:00"/>
    <x v="0"/>
    <s v="内部获奖"/>
    <s v="工厂级QC发表获奖"/>
    <s v="一等奖"/>
    <m/>
    <s v="否"/>
    <n v="2.5"/>
    <x v="4"/>
    <n v="8681583"/>
    <m/>
    <n v="280"/>
    <n v="2000"/>
    <n v="0.35000000000000003"/>
  </r>
  <r>
    <n v="6"/>
    <d v="2025-03-25T00:00:00"/>
    <x v="1"/>
    <s v="内部获奖"/>
    <s v="工厂级QC发表获奖"/>
    <s v="一等奖"/>
    <m/>
    <s v="否"/>
    <n v="2.5"/>
    <x v="5"/>
    <n v="8680291"/>
    <m/>
    <n v="200"/>
    <n v="2000"/>
    <n v="0.25"/>
  </r>
  <r>
    <n v="7"/>
    <d v="2025-03-25T00:00:00"/>
    <x v="1"/>
    <s v="内部获奖"/>
    <s v="工厂级QC发表获奖"/>
    <s v="一等奖"/>
    <m/>
    <s v="否"/>
    <n v="2.5"/>
    <x v="6"/>
    <n v="8682097"/>
    <m/>
    <n v="200"/>
    <n v="2000"/>
    <n v="0.25"/>
  </r>
  <r>
    <n v="8"/>
    <d v="2025-03-25T00:00:00"/>
    <x v="1"/>
    <s v="内部获奖"/>
    <s v="工厂级QC发表获奖"/>
    <s v="一等奖"/>
    <m/>
    <s v="否"/>
    <n v="2.5"/>
    <x v="7"/>
    <n v="8698876"/>
    <m/>
    <n v="200"/>
    <n v="2000"/>
    <n v="0.25"/>
  </r>
  <r>
    <n v="9"/>
    <d v="2025-03-25T00:00:00"/>
    <x v="2"/>
    <s v="内部获奖"/>
    <s v="工厂级QC发表获奖"/>
    <s v="二等奖"/>
    <m/>
    <s v="否"/>
    <n v="2"/>
    <x v="8"/>
    <n v="8683980"/>
    <m/>
    <n v="250"/>
    <n v="1500"/>
    <n v="0.33333333333333331"/>
  </r>
  <r>
    <n v="10"/>
    <d v="2025-03-25T00:00:00"/>
    <x v="2"/>
    <s v="内部获奖"/>
    <s v="工厂级QC发表获奖"/>
    <s v="二等奖"/>
    <m/>
    <s v="否"/>
    <n v="2"/>
    <x v="9"/>
    <n v="8683979"/>
    <m/>
    <n v="250"/>
    <n v="1500"/>
    <n v="0.33333333333333331"/>
  </r>
  <r>
    <n v="11"/>
    <d v="2025-03-25T00:00:00"/>
    <x v="2"/>
    <s v="内部获奖"/>
    <s v="工厂级QC发表获奖"/>
    <s v="二等奖"/>
    <m/>
    <s v="否"/>
    <n v="2"/>
    <x v="10"/>
    <n v="8612473"/>
    <m/>
    <n v="250"/>
    <n v="1500"/>
    <n v="0.33333333333333331"/>
  </r>
  <r>
    <n v="12"/>
    <d v="2025-02-27T00:00:00"/>
    <x v="2"/>
    <s v="内部获奖"/>
    <s v="工厂级QC发表获奖"/>
    <s v="二等奖"/>
    <m/>
    <s v="否"/>
    <n v="2"/>
    <x v="11"/>
    <n v="8675741"/>
    <m/>
    <n v="250"/>
    <n v="1500"/>
    <n v="0.33333333333333331"/>
  </r>
  <r>
    <n v="13"/>
    <d v="2025-02-27T00:00:00"/>
    <x v="2"/>
    <s v="内部获奖"/>
    <s v="工厂级QC发表获奖"/>
    <s v="二等奖"/>
    <m/>
    <s v="否"/>
    <n v="2"/>
    <x v="12"/>
    <n v="8684029"/>
    <m/>
    <n v="250"/>
    <n v="1500"/>
    <n v="0.33333333333333331"/>
  </r>
  <r>
    <n v="14"/>
    <d v="2025-02-27T00:00:00"/>
    <x v="2"/>
    <s v="内部获奖"/>
    <s v="工厂级QC发表获奖"/>
    <s v="二等奖"/>
    <m/>
    <s v="否"/>
    <n v="2"/>
    <x v="13"/>
    <n v="8683718"/>
    <m/>
    <n v="250"/>
    <n v="1500"/>
    <n v="0.33333333333333331"/>
  </r>
  <r>
    <n v="15"/>
    <d v="2025-02-27T00:00:00"/>
    <x v="3"/>
    <s v="内部获奖"/>
    <s v="工厂级QC发表获奖"/>
    <s v="二等奖"/>
    <m/>
    <s v="否"/>
    <n v="2"/>
    <x v="14"/>
    <n v="8681239"/>
    <m/>
    <n v="500"/>
    <n v="1500"/>
    <n v="0.66666666666666663"/>
  </r>
  <r>
    <n v="16"/>
    <d v="2025-02-27T00:00:00"/>
    <x v="3"/>
    <s v="内部获奖"/>
    <s v="工厂级QC发表获奖"/>
    <s v="二等奖"/>
    <m/>
    <s v="否"/>
    <n v="2"/>
    <x v="15"/>
    <n v="8612665"/>
    <m/>
    <n v="500"/>
    <n v="1500"/>
    <n v="0.66666666666666663"/>
  </r>
  <r>
    <n v="17"/>
    <d v="2025-02-27T00:00:00"/>
    <x v="0"/>
    <s v="内部获奖"/>
    <s v="工厂级QC发表获奖"/>
    <s v="二等奖"/>
    <m/>
    <s v="否"/>
    <n v="2"/>
    <x v="16"/>
    <n v="8685694"/>
    <m/>
    <n v="500"/>
    <n v="1500"/>
    <n v="0.66666666666666663"/>
  </r>
  <r>
    <n v="18"/>
    <d v="2025-02-27T00:00:00"/>
    <x v="4"/>
    <s v="内部获奖"/>
    <s v="工厂级QC发表获奖"/>
    <s v="三等奖"/>
    <m/>
    <s v="否"/>
    <n v="1.5"/>
    <x v="17"/>
    <n v="8676581"/>
    <m/>
    <n v="400"/>
    <n v="1000"/>
    <n v="0.60000000000000009"/>
  </r>
  <r>
    <n v="19"/>
    <d v="2025-02-27T00:00:00"/>
    <x v="4"/>
    <s v="内部获奖"/>
    <s v="工厂级QC发表获奖"/>
    <s v="三等奖"/>
    <m/>
    <s v="否"/>
    <n v="1.5"/>
    <x v="18"/>
    <n v="8676591"/>
    <m/>
    <n v="400"/>
    <n v="1000"/>
    <n v="0.60000000000000009"/>
  </r>
  <r>
    <n v="20"/>
    <d v="2025-02-27T00:00:00"/>
    <x v="4"/>
    <s v="内部获奖"/>
    <s v="工厂级QC发表获奖"/>
    <s v="三等奖"/>
    <m/>
    <s v="否"/>
    <n v="1.5"/>
    <x v="19"/>
    <n v="8700494"/>
    <m/>
    <n v="200"/>
    <n v="1000"/>
    <n v="0.30000000000000004"/>
  </r>
  <r>
    <n v="21"/>
    <d v="2025-02-27T00:00:00"/>
    <x v="5"/>
    <s v="内部获奖"/>
    <s v="工厂级QC发表获奖"/>
    <s v="三等奖"/>
    <m/>
    <s v="否"/>
    <n v="1.5"/>
    <x v="20"/>
    <n v="8680051"/>
    <m/>
    <n v="200"/>
    <n v="1000"/>
    <n v="0.30000000000000004"/>
  </r>
  <r>
    <n v="22"/>
    <d v="2025-02-27T00:00:00"/>
    <x v="5"/>
    <s v="内部获奖"/>
    <s v="工厂级QC发表获奖"/>
    <s v="三等奖"/>
    <m/>
    <s v="否"/>
    <n v="1.5"/>
    <x v="21"/>
    <n v="8673998"/>
    <m/>
    <n v="200"/>
    <n v="1000"/>
    <n v="0.30000000000000004"/>
  </r>
  <r>
    <n v="23"/>
    <d v="2025-02-27T00:00:00"/>
    <x v="5"/>
    <s v="内部获奖"/>
    <s v="工厂级QC发表获奖"/>
    <s v="三等奖"/>
    <m/>
    <s v="否"/>
    <n v="1.5"/>
    <x v="22"/>
    <n v="8685711"/>
    <m/>
    <n v="200"/>
    <n v="1000"/>
    <n v="0.30000000000000004"/>
  </r>
  <r>
    <n v="24"/>
    <d v="2025-02-27T00:00:00"/>
    <x v="5"/>
    <s v="内部获奖"/>
    <s v="工厂级QC发表获奖"/>
    <s v="三等奖"/>
    <m/>
    <s v="否"/>
    <n v="1.5"/>
    <x v="23"/>
    <n v="8674452"/>
    <m/>
    <n v="200"/>
    <n v="1000"/>
    <n v="0.30000000000000004"/>
  </r>
  <r>
    <n v="25"/>
    <d v="2025-02-27T00:00:00"/>
    <x v="5"/>
    <s v="内部获奖"/>
    <s v="工厂级QC发表获奖"/>
    <s v="三等奖"/>
    <m/>
    <s v="否"/>
    <n v="1.5"/>
    <x v="24"/>
    <n v="8682845"/>
    <m/>
    <n v="200"/>
    <n v="1000"/>
    <n v="0.30000000000000004"/>
  </r>
  <r>
    <n v="26"/>
    <d v="2025-02-27T00:00:00"/>
    <x v="6"/>
    <s v="内部获奖"/>
    <s v="工厂级QC发表获奖"/>
    <s v="三等奖"/>
    <m/>
    <s v="否"/>
    <n v="1.5"/>
    <x v="25"/>
    <n v="8614160"/>
    <m/>
    <n v="100"/>
    <n v="1000"/>
    <n v="0.15000000000000002"/>
  </r>
  <r>
    <n v="27"/>
    <d v="2025-02-27T00:00:00"/>
    <x v="6"/>
    <s v="内部获奖"/>
    <s v="工厂级QC发表获奖"/>
    <s v="三等奖"/>
    <m/>
    <s v="否"/>
    <n v="1.5"/>
    <x v="26"/>
    <n v="8683568"/>
    <m/>
    <n v="400"/>
    <n v="1000"/>
    <n v="0.60000000000000009"/>
  </r>
  <r>
    <n v="28"/>
    <d v="2025-02-27T00:00:00"/>
    <x v="6"/>
    <s v="内部获奖"/>
    <s v="工厂级QC发表获奖"/>
    <s v="三等奖"/>
    <m/>
    <s v="否"/>
    <n v="1.5"/>
    <x v="27"/>
    <n v="8676593"/>
    <m/>
    <n v="400"/>
    <n v="1000"/>
    <n v="0.60000000000000009"/>
  </r>
  <r>
    <n v="29"/>
    <d v="2025-02-27T00:00:00"/>
    <x v="7"/>
    <s v="内部获奖"/>
    <s v="工厂级QC发表获奖"/>
    <s v="三等奖"/>
    <m/>
    <s v="否"/>
    <n v="1.5"/>
    <x v="28"/>
    <n v="8695305"/>
    <m/>
    <n v="50"/>
    <n v="1000"/>
    <n v="7.5000000000000011E-2"/>
  </r>
  <r>
    <n v="30"/>
    <d v="2025-02-27T00:00:00"/>
    <x v="6"/>
    <s v="内部获奖"/>
    <s v="工厂级QC发表获奖"/>
    <s v="三等奖"/>
    <m/>
    <s v="否"/>
    <n v="1.5"/>
    <x v="29"/>
    <n v="8683084"/>
    <m/>
    <n v="50"/>
    <n v="1000"/>
    <n v="7.5000000000000011E-2"/>
  </r>
  <r>
    <n v="31"/>
    <d v="2025-03-04T00:00:00"/>
    <x v="6"/>
    <s v="内部获奖"/>
    <s v="工厂级QC发表获奖"/>
    <s v="一等奖"/>
    <m/>
    <s v="否"/>
    <n v="2.5"/>
    <x v="30"/>
    <n v="8674056"/>
    <s v="数字化发表会"/>
    <n v="600"/>
    <n v="600"/>
    <n v="2.5"/>
  </r>
  <r>
    <n v="32"/>
    <d v="2025-03-04T00:00:00"/>
    <x v="5"/>
    <s v="内部获奖"/>
    <s v="工厂级QC发表获奖"/>
    <s v="二等奖"/>
    <m/>
    <s v="是"/>
    <n v="2.5"/>
    <x v="21"/>
    <n v="8673998"/>
    <s v="数字化发表会"/>
    <n v="400"/>
    <n v="400"/>
    <n v="2.5"/>
  </r>
  <r>
    <n v="33"/>
    <d v="2025-03-04T00:00:00"/>
    <x v="5"/>
    <s v="内部获奖"/>
    <s v="工厂级QC发表获奖"/>
    <s v="二等奖"/>
    <m/>
    <s v="否"/>
    <n v="2"/>
    <x v="31"/>
    <n v="8722477"/>
    <s v="数字化发表会"/>
    <n v="400"/>
    <n v="400"/>
    <n v="2"/>
  </r>
  <r>
    <n v="34"/>
    <d v="2025-03-04T00:00:00"/>
    <x v="1"/>
    <s v="内部获奖"/>
    <s v="工厂级QC发表获奖"/>
    <s v="三等奖"/>
    <m/>
    <s v="否"/>
    <n v="1.5"/>
    <x v="5"/>
    <n v="8680291"/>
    <s v="数字化发表会"/>
    <n v="200"/>
    <n v="200"/>
    <n v="1.5"/>
  </r>
  <r>
    <n v="35"/>
    <d v="2025-03-04T00:00:00"/>
    <x v="8"/>
    <s v="内部获奖"/>
    <s v="工厂级QC发表获奖"/>
    <s v="三等奖"/>
    <m/>
    <s v="否"/>
    <n v="1.5"/>
    <x v="32"/>
    <n v="8672926"/>
    <s v="数字化发表会"/>
    <n v="200"/>
    <n v="200"/>
    <n v="1.5"/>
  </r>
  <r>
    <n v="36"/>
    <d v="2025-03-04T00:00:00"/>
    <x v="4"/>
    <s v="内部获奖"/>
    <s v="工厂级QC发表获奖"/>
    <s v="三等奖"/>
    <m/>
    <s v="否"/>
    <n v="1.5"/>
    <x v="18"/>
    <n v="8676591"/>
    <s v="数字化发表会"/>
    <n v="200"/>
    <n v="200"/>
    <n v="1.5"/>
  </r>
  <r>
    <n v="37"/>
    <d v="2025-01-21T00:00:00"/>
    <x v="0"/>
    <s v="外部获奖"/>
    <s v="DFN级/市级奖项"/>
    <s v="一等奖"/>
    <m/>
    <s v="否"/>
    <n v="3"/>
    <x v="0"/>
    <n v="8699083"/>
    <s v="DFN数字化技能大赛"/>
    <n v="1"/>
    <n v="1"/>
    <n v="3"/>
  </r>
  <r>
    <n v="38"/>
    <d v="2025-01-01T00:00:00"/>
    <x v="5"/>
    <s v="外部获奖"/>
    <s v="DFN级/市级奖项"/>
    <s v="三等奖"/>
    <m/>
    <s v="否"/>
    <n v="1"/>
    <x v="33"/>
    <n v="8687986"/>
    <s v="2024年优秀质量体系重点课题"/>
    <n v="1"/>
    <n v="1"/>
    <n v="1"/>
  </r>
  <r>
    <n v="39"/>
    <d v="2025-02-01T00:00:00"/>
    <x v="9"/>
    <s v="外部获奖"/>
    <s v="全国级/DFG级奖项"/>
    <s v="综合奖项"/>
    <m/>
    <s v="否"/>
    <n v="3"/>
    <x v="34"/>
    <n v="8696816"/>
    <s v="2024年企业绿色低碳发展优秀案例"/>
    <n v="1"/>
    <n v="1"/>
    <n v="3"/>
  </r>
  <r>
    <n v="40"/>
    <d v="2025-04-01T00:00:00"/>
    <x v="7"/>
    <s v="外部获奖"/>
    <s v="全国级/DFG级奖项"/>
    <s v="二等奖"/>
    <m/>
    <s v="否"/>
    <n v="4"/>
    <x v="35"/>
    <n v="8683930"/>
    <s v="全国机械冶金建材行业职工技术创新成果"/>
    <n v="1"/>
    <n v="1"/>
    <n v="4"/>
  </r>
  <r>
    <n v="41"/>
    <d v="2025-04-01T00:00:00"/>
    <x v="1"/>
    <s v="外部获奖"/>
    <s v="全国级/DFG级奖项"/>
    <s v="三等奖"/>
    <m/>
    <s v="否"/>
    <n v="3"/>
    <x v="36"/>
    <n v="8680603"/>
    <s v="全国机械冶金建材行业职工技术创新成果"/>
    <n v="1"/>
    <n v="1"/>
    <n v="3"/>
  </r>
  <r>
    <n v="42"/>
    <d v="2025-04-01T00:00:00"/>
    <x v="0"/>
    <s v="外部获奖"/>
    <s v="全国级/DFG级奖项"/>
    <s v="综合奖项"/>
    <m/>
    <s v="否"/>
    <n v="3"/>
    <x v="37"/>
    <n v="8615446"/>
    <s v="东风最佳实践课题获奖"/>
    <n v="1"/>
    <n v="1"/>
    <n v="3"/>
  </r>
  <r>
    <n v="43"/>
    <d v="2025-05-06T00:00:00"/>
    <x v="1"/>
    <s v="内部获奖"/>
    <s v="数字化课题开发"/>
    <s v="重点课题"/>
    <s v="商品车是否订单车自动解析"/>
    <s v="是"/>
    <n v="2.5"/>
    <x v="36"/>
    <n v="8680603"/>
    <m/>
    <n v="1"/>
    <n v="1"/>
    <n v="2.5"/>
  </r>
  <r>
    <n v="44"/>
    <d v="2025-05-06T00:00:00"/>
    <x v="3"/>
    <s v="内部获奖"/>
    <s v="数字化课题开发"/>
    <s v="普通课题"/>
    <s v="科室单台成本动态管控可视化"/>
    <s v="是"/>
    <n v="1.5"/>
    <x v="38"/>
    <n v="8683064"/>
    <m/>
    <n v="1"/>
    <n v="1"/>
    <n v="1.5"/>
  </r>
  <r>
    <n v="45"/>
    <d v="2025-05-06T00:00:00"/>
    <x v="1"/>
    <s v="内部获奖"/>
    <s v="数字化课题开发"/>
    <s v="重点课题"/>
    <s v="计划与实际出勤每日对比分析"/>
    <s v="否"/>
    <n v="2"/>
    <x v="39"/>
    <n v="8687765"/>
    <m/>
    <n v="1"/>
    <n v="1"/>
    <n v="2"/>
  </r>
  <r>
    <n v="46"/>
    <d v="2025-05-06T00:00:00"/>
    <x v="1"/>
    <s v="内部获奖"/>
    <s v="数字化课题开发"/>
    <s v="普通课题"/>
    <s v="昨日出勤差异解析自动提醒"/>
    <s v="否"/>
    <n v="1"/>
    <x v="39"/>
    <n v="8687765"/>
    <m/>
    <n v="1"/>
    <n v="1"/>
    <n v="1"/>
  </r>
  <r>
    <n v="47"/>
    <d v="2025-05-06T00:00:00"/>
    <x v="1"/>
    <s v="内部获奖"/>
    <s v="数字化课题开发"/>
    <s v="重点课题"/>
    <s v="工时与考勤管理看板"/>
    <s v="否"/>
    <n v="2"/>
    <x v="5"/>
    <n v="8680291"/>
    <m/>
    <n v="1"/>
    <n v="1"/>
    <n v="2"/>
  </r>
  <r>
    <n v="48"/>
    <d v="2025-05-06T00:00:00"/>
    <x v="1"/>
    <s v="内部获奖"/>
    <s v="数字化课题开发"/>
    <s v="普通课题"/>
    <s v="精益工厂看板"/>
    <s v="否"/>
    <n v="1"/>
    <x v="5"/>
    <n v="8680291"/>
    <m/>
    <n v="1"/>
    <n v="1"/>
    <n v="1"/>
  </r>
  <r>
    <n v="49"/>
    <d v="2025-05-06T00:00:00"/>
    <x v="0"/>
    <s v="内部获奖"/>
    <s v="数字化课题开发"/>
    <s v="普通课题"/>
    <s v="冲压模具异常处理数字化看板"/>
    <s v="是"/>
    <n v="1.5"/>
    <x v="40"/>
    <n v="8674034"/>
    <m/>
    <n v="1"/>
    <n v="1"/>
    <n v="1.5"/>
  </r>
  <r>
    <n v="50"/>
    <d v="2025-05-06T00:00:00"/>
    <x v="2"/>
    <s v="内部获奖"/>
    <s v="数字化课题开发"/>
    <s v="重点课题"/>
    <s v="时段生产实绩信息发布自动化"/>
    <s v="是"/>
    <n v="2.5"/>
    <x v="11"/>
    <n v="8675741"/>
    <m/>
    <n v="1"/>
    <n v="1"/>
    <n v="2.5"/>
  </r>
  <r>
    <n v="51"/>
    <d v="2025-06-13T00:00:00"/>
    <x v="3"/>
    <s v="内部获奖"/>
    <s v="改善功夫发表获奖"/>
    <s v="一等奖"/>
    <s v="前处理脱脂产生含油废水递减改善"/>
    <s v="否"/>
    <n v="1.5"/>
    <x v="41"/>
    <n v="8676671"/>
    <s v="Q/T/S专业级QC"/>
    <n v="1"/>
    <n v="1"/>
    <n v="1.5"/>
  </r>
  <r>
    <n v="52"/>
    <d v="2025-06-13T00:00:00"/>
    <x v="0"/>
    <s v="内部获奖"/>
    <s v="改善功夫发表获奖"/>
    <s v="一等奖"/>
    <s v="天车动作系统视觉监控系统改善"/>
    <s v="否"/>
    <n v="1.5"/>
    <x v="42"/>
    <n v="8674014"/>
    <s v="Q/T/S专业级QC"/>
    <n v="1"/>
    <n v="1"/>
    <n v="1.5"/>
  </r>
  <r>
    <n v="53"/>
    <d v="2025-06-13T00:00:00"/>
    <x v="5"/>
    <s v="内部获奖"/>
    <s v="改善功夫发表获奖"/>
    <s v="二等奖"/>
    <s v="零化AVM品质流出风险"/>
    <s v="否"/>
    <n v="1"/>
    <x v="43"/>
    <n v="8613616"/>
    <s v="Q/T/S专业级QC"/>
    <n v="1"/>
    <n v="1"/>
    <n v="1"/>
  </r>
  <r>
    <n v="54"/>
    <d v="2025-06-13T00:00:00"/>
    <x v="0"/>
    <s v="内部获奖"/>
    <s v="改善功夫发表获奖"/>
    <s v="二等奖"/>
    <s v="非生产时间段综合站房用电量递减"/>
    <s v="否"/>
    <n v="1"/>
    <x v="44"/>
    <n v="8630191"/>
    <s v="Q/T/S专业级QC"/>
    <n v="1"/>
    <n v="1"/>
    <n v="1"/>
  </r>
  <r>
    <n v="55"/>
    <d v="2025-06-13T00:00:00"/>
    <x v="4"/>
    <s v="内部获奖"/>
    <s v="改善功夫发表获奖"/>
    <s v="二等奖"/>
    <s v="焊装科稼动率提升报告"/>
    <s v="否"/>
    <n v="1"/>
    <x v="45"/>
    <n v="8614408"/>
    <s v="Q/T/S专业级QC"/>
    <n v="1"/>
    <n v="1"/>
    <n v="1"/>
  </r>
  <r>
    <n v="56"/>
    <d v="2025-06-13T00:00:00"/>
    <x v="10"/>
    <s v="内部获奖"/>
    <s v="改善功夫发表获奖"/>
    <s v="二等奖"/>
    <s v="P32S SASH流痕改善"/>
    <s v="否"/>
    <n v="1"/>
    <x v="46"/>
    <n v="8721934"/>
    <s v="Q/T/S专业级QC"/>
    <n v="1"/>
    <n v="1"/>
    <n v="1"/>
  </r>
  <r>
    <n v="57"/>
    <d v="2025-06-13T00:00:00"/>
    <x v="6"/>
    <s v="内部获奖"/>
    <s v="改善功夫发表获奖"/>
    <s v="三等奖"/>
    <s v="零化P32S MC-R前档VIN码偏下"/>
    <s v="否"/>
    <n v="0.5"/>
    <x v="47"/>
    <n v="8676584"/>
    <s v="Q/T/S专业级QC"/>
    <n v="1"/>
    <n v="1"/>
    <n v="0.5"/>
  </r>
  <r>
    <n v="58"/>
    <d v="2025-06-13T00:00:00"/>
    <x v="0"/>
    <s v="内部获奖"/>
    <s v="改善功夫发表获奖"/>
    <s v="三等奖"/>
    <s v="树脂升降机人员挤压隐患零化"/>
    <s v="否"/>
    <n v="0.5"/>
    <x v="48"/>
    <n v="8674015"/>
    <s v="Q/T/S专业级QC"/>
    <n v="1"/>
    <n v="1"/>
    <n v="0.5"/>
  </r>
  <r>
    <n v="59"/>
    <d v="2025-06-13T00:00:00"/>
    <x v="2"/>
    <s v="内部获奖"/>
    <s v="改善功夫发表获奖"/>
    <s v="三等奖"/>
    <s v="递减无价值垃圾量"/>
    <s v="否"/>
    <n v="0.5"/>
    <x v="12"/>
    <n v="8684029"/>
    <s v="Q/T/S专业级QC"/>
    <n v="1"/>
    <n v="1"/>
    <n v="0.5"/>
  </r>
  <r>
    <n v="60"/>
    <d v="2025-06-13T00:00:00"/>
    <x v="3"/>
    <s v="内部获奖"/>
    <s v="改善功夫发表获奖"/>
    <s v="三等奖"/>
    <s v="递减擦净除油作业影的喷涂DPHU"/>
    <s v="否"/>
    <n v="0.5"/>
    <x v="49"/>
    <n v="8681396"/>
    <s v="Q/T/S专业级QC"/>
    <n v="1"/>
    <n v="1"/>
    <n v="0.5"/>
  </r>
  <r>
    <n v="61"/>
    <d v="2025-06-13T00:00:00"/>
    <x v="3"/>
    <s v="内部获奖"/>
    <s v="改善功夫发表获奖"/>
    <s v="三等奖"/>
    <s v="递减P32S车型机盖胶泡不良件数"/>
    <s v="否"/>
    <n v="0.5"/>
    <x v="50"/>
    <n v="8681031"/>
    <s v="Q/T/S专业级QC"/>
    <n v="1"/>
    <n v="1"/>
    <n v="0.5"/>
  </r>
  <r>
    <n v="62"/>
    <d v="2025-06-13T00:00:00"/>
    <x v="4"/>
    <s v="内部获奖"/>
    <s v="改善功夫发表获奖"/>
    <s v="三等奖"/>
    <s v="提升P32S背门内板SPH"/>
    <s v="否"/>
    <n v="0.5"/>
    <x v="51"/>
    <n v="8613394"/>
    <s v="Q/T/S专业级QC"/>
    <n v="1"/>
    <n v="1"/>
    <n v="0.5"/>
  </r>
  <r>
    <n v="63"/>
    <d v="2025-04-01T00:00:00"/>
    <x v="1"/>
    <s v="外部获奖"/>
    <s v="全国级/DFG级奖项"/>
    <s v="一等奖"/>
    <s v="直接到间接-间准人员减负"/>
    <s v="否"/>
    <n v="5"/>
    <x v="7"/>
    <n v="8698876"/>
    <s v="东风制造效率提升"/>
    <n v="0.5"/>
    <n v="1"/>
    <n v="2.5"/>
  </r>
  <r>
    <n v="64"/>
    <d v="2025-04-01T00:00:00"/>
    <x v="1"/>
    <s v="外部获奖"/>
    <s v="全国级/DFG级奖项"/>
    <s v="一等奖"/>
    <s v="直接到间接-间准人员减负"/>
    <s v="否"/>
    <n v="5"/>
    <x v="39"/>
    <n v="8687765"/>
    <s v="东风制造效率提升"/>
    <n v="0.5"/>
    <n v="1"/>
    <n v="2.5"/>
  </r>
  <r>
    <n v="65"/>
    <d v="2025-03-25T00:00:00"/>
    <x v="0"/>
    <s v="外部获奖"/>
    <s v="全国级/DFG级奖项"/>
    <s v="二等奖"/>
    <m/>
    <s v="否"/>
    <n v="4"/>
    <x v="0"/>
    <n v="8699083"/>
    <s v="东风公司QC"/>
    <n v="1"/>
    <n v="1"/>
    <n v="4"/>
  </r>
  <r>
    <n v="66"/>
    <d v="2025-06-13T00:00:00"/>
    <x v="0"/>
    <s v="外部获奖"/>
    <s v="全国级/DFG级奖项"/>
    <s v="二等奖"/>
    <m/>
    <s v="否"/>
    <n v="4"/>
    <x v="52"/>
    <n v="8613261"/>
    <s v="全国设备管理与技术创新成果"/>
    <n v="1"/>
    <n v="1"/>
    <n v="4"/>
  </r>
  <r>
    <n v="67"/>
    <d v="2025-06-01T00:00:00"/>
    <x v="0"/>
    <s v="外部获奖"/>
    <s v="DFN级/市级奖项"/>
    <s v="二等奖"/>
    <m/>
    <s v="否"/>
    <n v="2"/>
    <x v="44"/>
    <n v="8630191"/>
    <s v="DFN 节能改善QC发表"/>
    <n v="1"/>
    <n v="1"/>
    <n v="2"/>
  </r>
  <r>
    <n v="68"/>
    <d v="2025-06-01T00:00:00"/>
    <x v="6"/>
    <s v="外部获奖"/>
    <s v="DFN级/市级奖项"/>
    <s v="三等奖"/>
    <m/>
    <s v="否"/>
    <n v="1"/>
    <x v="27"/>
    <n v="8676593"/>
    <s v="DFN EHS改善QC发表"/>
    <n v="1"/>
    <n v="1"/>
    <n v="1"/>
  </r>
  <r>
    <n v="69"/>
    <d v="2025-07-01T00:00:00"/>
    <x v="1"/>
    <s v="外部获奖"/>
    <s v="DFN级/市级奖项"/>
    <s v="二等奖"/>
    <m/>
    <s v="是"/>
    <n v="2.5"/>
    <x v="53"/>
    <n v="8722495"/>
    <s v="标杆精益改善大赛东北区分赛一等奖(存在特等奖)"/>
    <n v="1"/>
    <n v="1"/>
    <n v="2.5"/>
  </r>
  <r>
    <n v="70"/>
    <d v="2025-08-01T00:00:00"/>
    <x v="4"/>
    <s v="内部获奖"/>
    <s v="数字化课题开发"/>
    <s v="普通课题"/>
    <s v="冲焊党支部员工生日提醒"/>
    <s v="否"/>
    <n v="1"/>
    <x v="18"/>
    <n v="8676591"/>
    <m/>
    <n v="1"/>
    <n v="1"/>
    <n v="1"/>
  </r>
  <r>
    <n v="71"/>
    <d v="2025-08-01T00:00:00"/>
    <x v="2"/>
    <s v="内部获奖"/>
    <s v="数字化课题开发"/>
    <s v="普通课题"/>
    <s v="工料废自动记账"/>
    <s v="是"/>
    <n v="1.5"/>
    <x v="12"/>
    <n v="8684029"/>
    <m/>
    <n v="1"/>
    <n v="1"/>
    <n v="1.5"/>
  </r>
  <r>
    <n v="72"/>
    <d v="2025-08-01T00:00:00"/>
    <x v="1"/>
    <s v="内部获奖"/>
    <s v="数字化课题开发"/>
    <s v="普通课题"/>
    <s v="大连工厂改善创新积分制规则答疑"/>
    <s v="否"/>
    <n v="1"/>
    <x v="5"/>
    <n v="8680291"/>
    <m/>
    <n v="1"/>
    <n v="1"/>
    <n v="1"/>
  </r>
  <r>
    <n v="73"/>
    <d v="2025-08-01T00:00:00"/>
    <x v="3"/>
    <s v="内部获奖"/>
    <s v="数字化课题开发"/>
    <s v="普通课题"/>
    <s v="树脂科数字点检自动导出分析"/>
    <s v="否"/>
    <n v="1"/>
    <x v="49"/>
    <n v="8681396"/>
    <m/>
    <n v="1"/>
    <n v="1"/>
    <n v="1"/>
  </r>
  <r>
    <n v="74"/>
    <d v="2025-08-01T00:00:00"/>
    <x v="11"/>
    <s v="内部获奖"/>
    <s v="数字化课题开发"/>
    <s v="重点课题"/>
    <s v="离职解除证明的用章申请"/>
    <s v="是"/>
    <n v="2.5"/>
    <x v="54"/>
    <n v="8682839"/>
    <m/>
    <n v="1"/>
    <n v="1"/>
    <n v="2.5"/>
  </r>
  <r>
    <n v="75"/>
    <d v="2025-08-01T00:00:00"/>
    <x v="5"/>
    <s v="内部获奖"/>
    <s v="数字化课题开发"/>
    <s v="重点课题"/>
    <s v="TQMP在线问题点自动预警"/>
    <s v="是"/>
    <n v="2.5"/>
    <x v="55"/>
    <n v="8683928"/>
    <m/>
    <n v="1"/>
    <n v="1"/>
    <n v="2.5"/>
  </r>
  <r>
    <n v="76"/>
    <d v="2025-07-01T00:00:00"/>
    <x v="7"/>
    <s v="外部获奖"/>
    <s v="国家专利受理"/>
    <s v="发明专利"/>
    <s v="一种汽车大灯支架的定位连接工艺"/>
    <s v="是"/>
    <n v="4.5"/>
    <x v="56"/>
    <n v="8695568"/>
    <m/>
    <n v="1"/>
    <n v="1"/>
    <n v="4.5"/>
  </r>
  <r>
    <n v="77"/>
    <d v="2025-07-01T00:00:00"/>
    <x v="0"/>
    <s v="外部获奖"/>
    <s v="国家专利受理"/>
    <s v="发明专利"/>
    <s v="多螺母拧紧机"/>
    <s v="否"/>
    <n v="4"/>
    <x v="57"/>
    <n v="8675885"/>
    <m/>
    <n v="1"/>
    <n v="1"/>
    <n v="4"/>
  </r>
  <r>
    <n v="78"/>
    <d v="2025-07-01T00:00:00"/>
    <x v="1"/>
    <s v="外部获奖"/>
    <s v="国家专利受理"/>
    <s v="发明专利"/>
    <s v="电极帽或其它需要旋转拆卸的轴类元件自动拆卸装置"/>
    <s v="否"/>
    <n v="4"/>
    <x v="36"/>
    <n v="8680603"/>
    <m/>
    <n v="1"/>
    <n v="1"/>
    <n v="4"/>
  </r>
  <r>
    <n v="79"/>
    <d v="2025-07-01T00:00:00"/>
    <x v="1"/>
    <s v="外部获奖"/>
    <s v="国家专利受理"/>
    <s v="发明专利"/>
    <s v="一种上下电极帽的自动供料装置"/>
    <s v="否"/>
    <n v="4"/>
    <x v="36"/>
    <n v="8680603"/>
    <m/>
    <n v="1"/>
    <n v="1"/>
    <n v="4"/>
  </r>
  <r>
    <n v="80"/>
    <d v="2025-07-01T00:00:00"/>
    <x v="0"/>
    <s v="外部获奖"/>
    <s v="国家专利受理"/>
    <s v="实用新型"/>
    <s v="种可校正车体前后地板螺柱位置的轻量化治具"/>
    <s v="是"/>
    <n v="3.5"/>
    <x v="58"/>
    <n v="8694998"/>
    <m/>
    <n v="1"/>
    <n v="1"/>
    <n v="3.5"/>
  </r>
  <r>
    <n v="81"/>
    <d v="2025-09-01T00:00:00"/>
    <x v="4"/>
    <s v="内部获奖"/>
    <s v="数字化课题开发"/>
    <s v="重点课题"/>
    <s v="焊装车间新媒体工作AI机器人助手"/>
    <s v="否"/>
    <n v="2"/>
    <x v="18"/>
    <n v="8676591"/>
    <m/>
    <n v="1"/>
    <n v="1"/>
    <n v="2"/>
  </r>
  <r>
    <n v="82"/>
    <d v="2025-09-01T00:00:00"/>
    <x v="7"/>
    <s v="内部获奖"/>
    <s v="数字化课题开发"/>
    <s v="重点课题"/>
    <s v="色差分析助手"/>
    <s v="是"/>
    <n v="2.5"/>
    <x v="59"/>
    <n v="8722475"/>
    <m/>
    <n v="1"/>
    <n v="1"/>
    <n v="2.5"/>
  </r>
  <r>
    <n v="83"/>
    <d v="2025-08-01T00:00:00"/>
    <x v="0"/>
    <s v="内部获奖"/>
    <s v="数字化课题开发"/>
    <s v="重点课题"/>
    <s v="VOC无线通讯报警"/>
    <s v="是"/>
    <n v="2.5"/>
    <x v="60"/>
    <n v="8698965"/>
    <m/>
    <n v="1"/>
    <n v="1"/>
    <n v="2.5"/>
  </r>
  <r>
    <n v="84"/>
    <d v="2025-08-01T00:00:00"/>
    <x v="7"/>
    <s v="内部获奖"/>
    <s v="数字化课题开发"/>
    <s v="普通课题"/>
    <s v="技术知识库建立"/>
    <s v="否"/>
    <n v="1"/>
    <x v="61"/>
    <n v="8678829"/>
    <m/>
    <n v="1"/>
    <n v="1"/>
    <n v="1"/>
  </r>
  <r>
    <n v="85"/>
    <d v="2025-08-01T00:00:00"/>
    <x v="2"/>
    <s v="内部获奖"/>
    <s v="数字化课题开发"/>
    <s v="普通课题"/>
    <s v="生产数据统计分析"/>
    <s v="否"/>
    <n v="1"/>
    <x v="11"/>
    <n v="8675741"/>
    <m/>
    <n v="1"/>
    <n v="1"/>
    <n v="1"/>
  </r>
  <r>
    <n v="86"/>
    <d v="2025-09-01T00:00:00"/>
    <x v="1"/>
    <s v="内部获奖"/>
    <s v="数字化课题开发"/>
    <s v="普通课题"/>
    <s v="大连工厂数字员工发布数量通报"/>
    <s v="否"/>
    <n v="1"/>
    <x v="39"/>
    <n v="8687765"/>
    <m/>
    <n v="1"/>
    <n v="1"/>
    <n v="1"/>
  </r>
  <r>
    <n v="87"/>
    <d v="2025-09-01T00:00:00"/>
    <x v="1"/>
    <s v="内部获奖"/>
    <s v="数字化课题开发"/>
    <s v="普通课题"/>
    <s v="工时效率指标自动计算"/>
    <s v="是"/>
    <n v="1.5"/>
    <x v="53"/>
    <n v="8722495"/>
    <m/>
    <n v="1"/>
    <n v="1"/>
    <n v="1.5"/>
  </r>
  <r>
    <n v="88"/>
    <d v="2025-09-01T00:00:00"/>
    <x v="5"/>
    <s v="内部获奖"/>
    <s v="数字化课题开发"/>
    <s v="普通课题"/>
    <s v="车体3D/建付数据自动分析日报生成及发送"/>
    <s v="是"/>
    <n v="1.5"/>
    <x v="62"/>
    <n v="8674440"/>
    <m/>
    <n v="1"/>
    <n v="1"/>
    <n v="1.5"/>
  </r>
  <r>
    <n v="89"/>
    <d v="2025-09-01T00:00:00"/>
    <x v="7"/>
    <s v="内部获奖"/>
    <s v="数字化课题开发"/>
    <s v="普通课题"/>
    <s v="前后工程联动数据自动生成"/>
    <s v="是"/>
    <n v="1.5"/>
    <x v="63"/>
    <n v="8696248"/>
    <m/>
    <n v="1"/>
    <n v="1"/>
    <n v="1.5"/>
  </r>
  <r>
    <n v="90"/>
    <d v="2025-09-01T00:00:00"/>
    <x v="0"/>
    <s v="内部获奖"/>
    <s v="数字化课题开发"/>
    <s v="普通课题"/>
    <s v="检查数据清理小弟"/>
    <s v="是"/>
    <n v="1.5"/>
    <x v="64"/>
    <n v="8673987"/>
    <m/>
    <n v="1"/>
    <n v="1"/>
    <n v="1.5"/>
  </r>
  <r>
    <n v="91"/>
    <d v="2025-09-01T00:00:00"/>
    <x v="4"/>
    <s v="内部获奖"/>
    <s v="数字化课题开发"/>
    <s v="普通课题"/>
    <s v="PPT/pdf转World助手（文字提取机器人）"/>
    <s v="是"/>
    <n v="1.5"/>
    <x v="65"/>
    <n v="8613399"/>
    <m/>
    <n v="1"/>
    <n v="1"/>
    <n v="1.5"/>
  </r>
  <r>
    <n v="92"/>
    <d v="2025-09-01T00:00:00"/>
    <x v="6"/>
    <s v="内部获奖"/>
    <s v="数字化课题开发"/>
    <s v="普通课题"/>
    <s v="DL-ZZ-数字化点检分析"/>
    <s v="是"/>
    <n v="1.5"/>
    <x v="27"/>
    <n v="8676593"/>
    <m/>
    <n v="1"/>
    <n v="1"/>
    <n v="1.5"/>
  </r>
  <r>
    <n v="93"/>
    <d v="2025-09-01T00:00:00"/>
    <x v="7"/>
    <s v="内部获奖"/>
    <s v="数字化课题开发"/>
    <s v="普通课题"/>
    <s v="通过关键词搜索并打开需要的工艺文件"/>
    <s v="是"/>
    <n v="1.5"/>
    <x v="66"/>
    <n v="8730579"/>
    <m/>
    <n v="1"/>
    <n v="1"/>
    <n v="1.5"/>
  </r>
  <r>
    <n v="94"/>
    <d v="2025-09-01T00:00:00"/>
    <x v="2"/>
    <s v="内部获奖"/>
    <s v="数字化课题开发"/>
    <s v="普通课题"/>
    <s v="提升生产信息传递效率"/>
    <s v="否"/>
    <n v="1"/>
    <x v="11"/>
    <n v="8675741"/>
    <m/>
    <n v="1"/>
    <n v="1"/>
    <n v="1"/>
  </r>
  <r>
    <n v="95"/>
    <d v="2025-09-01T00:00:00"/>
    <x v="5"/>
    <s v="内部获奖"/>
    <s v="数字化课题开发"/>
    <s v="普通课题"/>
    <s v="表格内容自动查询"/>
    <s v="是"/>
    <n v="1.5"/>
    <x v="8"/>
    <n v="8683980"/>
    <m/>
    <n v="1"/>
    <n v="1"/>
    <n v="1.5"/>
  </r>
  <r>
    <n v="96"/>
    <d v="2025-09-01T00:00:00"/>
    <x v="4"/>
    <s v="内部获奖"/>
    <s v="数字化课题开发"/>
    <s v="普通课题"/>
    <s v="冲焊车间重点点检数据推移"/>
    <s v="是"/>
    <n v="1.5"/>
    <x v="17"/>
    <n v="8676581"/>
    <m/>
    <n v="1"/>
    <n v="1"/>
    <n v="1.5"/>
  </r>
  <r>
    <n v="97"/>
    <d v="2025-09-01T00:00:00"/>
    <x v="11"/>
    <s v="内部获奖"/>
    <s v="数字化课题开发"/>
    <s v="普通课题"/>
    <s v="DOA离职报表每日自动下载"/>
    <s v="否"/>
    <n v="1"/>
    <x v="54"/>
    <n v="8682839"/>
    <m/>
    <n v="1"/>
    <n v="1"/>
    <n v="1"/>
  </r>
  <r>
    <n v="98"/>
    <d v="2025-09-01T00:00:00"/>
    <x v="4"/>
    <s v="内部获奖"/>
    <s v="数字化课题开发"/>
    <s v="普通课题"/>
    <s v="冲压生产信息流程自动化"/>
    <s v="否"/>
    <n v="1"/>
    <x v="67"/>
    <n v="8681179"/>
    <m/>
    <n v="1"/>
    <n v="1"/>
    <n v="1"/>
  </r>
  <r>
    <n v="99"/>
    <d v="2025-09-01T00:00:00"/>
    <x v="0"/>
    <s v="内部获奖"/>
    <s v="数字化课题开发"/>
    <s v="普通课题"/>
    <s v="制动液加注机数据分析助手"/>
    <s v="是"/>
    <n v="1.5"/>
    <x v="68"/>
    <n v="8719234"/>
    <m/>
    <n v="1"/>
    <n v="1"/>
    <n v="1.5"/>
  </r>
  <r>
    <n v="100"/>
    <d v="2025-09-01T00:00:00"/>
    <x v="7"/>
    <s v="内部获奖"/>
    <s v="数字化课题开发"/>
    <s v="重点课题"/>
    <s v="P32S 要因系管理数据分析助手"/>
    <s v="是"/>
    <n v="2.5"/>
    <x v="28"/>
    <n v="8695305"/>
    <m/>
    <n v="1"/>
    <n v="1"/>
    <n v="2.5"/>
  </r>
  <r>
    <n v="101"/>
    <d v="2025-09-01T00:00:00"/>
    <x v="9"/>
    <s v="内部获奖"/>
    <s v="数字化课题开发"/>
    <s v="普通课题"/>
    <s v="环境在线监测数据发布自动化"/>
    <s v="否"/>
    <n v="1"/>
    <x v="34"/>
    <n v="8696816"/>
    <m/>
    <n v="1"/>
    <n v="1"/>
    <n v="1"/>
  </r>
  <r>
    <n v="102"/>
    <d v="2025-09-01T00:00:00"/>
    <x v="3"/>
    <s v="内部获奖"/>
    <s v="数字化课题开发"/>
    <s v="普通课题"/>
    <s v="喷涂不良智能化分析及改善方向引导"/>
    <s v="否"/>
    <n v="1"/>
    <x v="49"/>
    <n v="8681396"/>
    <m/>
    <n v="1"/>
    <n v="1"/>
    <n v="1"/>
  </r>
  <r>
    <n v="103"/>
    <d v="2025-09-01T00:00:00"/>
    <x v="0"/>
    <s v="内部获奖"/>
    <s v="数字化课题开发"/>
    <s v="普通课题"/>
    <s v="总装底盘视觉检查系统文件自动清理"/>
    <s v="否"/>
    <n v="1"/>
    <x v="60"/>
    <n v="8698965"/>
    <m/>
    <n v="1"/>
    <n v="1"/>
    <n v="1"/>
  </r>
  <r>
    <n v="104"/>
    <d v="2025-09-01T00:00:00"/>
    <x v="0"/>
    <s v="内部获奖"/>
    <s v="数字化课题开发"/>
    <s v="普通课题"/>
    <s v="轮胎对中台劣化趋势分析软件"/>
    <s v="否"/>
    <n v="1"/>
    <x v="60"/>
    <n v="8698965"/>
    <m/>
    <n v="1"/>
    <n v="1"/>
    <n v="1"/>
  </r>
  <r>
    <n v="105"/>
    <d v="2025-09-01T00:00:00"/>
    <x v="7"/>
    <s v="内部获奖"/>
    <s v="数字化课题开发"/>
    <s v="普通课题"/>
    <s v="焊装工艺参数读写与筛选"/>
    <s v="是"/>
    <n v="1.5"/>
    <x v="56"/>
    <n v="8695568"/>
    <m/>
    <n v="1"/>
    <n v="1"/>
    <n v="1.5"/>
  </r>
  <r>
    <n v="106"/>
    <d v="2025-09-01T00:00:00"/>
    <x v="0"/>
    <s v="内部获奖"/>
    <s v="数字化课题开发"/>
    <s v="普通课题"/>
    <s v="模具巡线记录分析系统"/>
    <s v="否"/>
    <n v="1"/>
    <x v="40"/>
    <n v="8674034"/>
    <m/>
    <n v="1"/>
    <n v="1"/>
    <n v="1"/>
  </r>
  <r>
    <n v="107"/>
    <d v="2025-09-01T00:00:00"/>
    <x v="3"/>
    <s v="内部获奖"/>
    <s v="数字化课题开发"/>
    <s v="普通课题"/>
    <s v="涂装点检自动分析提醒"/>
    <s v="否"/>
    <n v="1"/>
    <x v="38"/>
    <n v="8683064"/>
    <m/>
    <n v="1"/>
    <n v="1"/>
    <n v="1"/>
  </r>
  <r>
    <n v="108"/>
    <d v="2025-09-01T00:00:00"/>
    <x v="8"/>
    <s v="内部获奖"/>
    <s v="数字化课题开发"/>
    <s v="普通课题"/>
    <s v="签办付款代扣代缴个税邮件提示"/>
    <s v="否"/>
    <n v="1"/>
    <x v="69"/>
    <m/>
    <m/>
    <n v="1"/>
    <n v="1"/>
    <n v="1"/>
  </r>
  <r>
    <n v="109"/>
    <d v="2025-10-01T00:00:00"/>
    <x v="5"/>
    <s v="内部获奖"/>
    <s v="数字化课题开发"/>
    <s v="普通课题"/>
    <s v="DMD诊断进度提醒"/>
    <s v="是"/>
    <n v="1.5"/>
    <x v="70"/>
    <n v="8615236"/>
    <m/>
    <n v="1"/>
    <n v="1"/>
    <n v="1.5"/>
  </r>
  <r>
    <n v="110"/>
    <d v="2025-10-01T00:00:00"/>
    <x v="7"/>
    <s v="内部获奖"/>
    <s v="数字化课题开发"/>
    <s v="普通课题"/>
    <s v="290#骨骼数据预测车体建付"/>
    <s v="是"/>
    <n v="1.5"/>
    <x v="71"/>
    <n v="8722474"/>
    <m/>
    <n v="1"/>
    <n v="1"/>
    <n v="1.5"/>
  </r>
  <r>
    <n v="111"/>
    <d v="2025-10-01T00:00:00"/>
    <x v="0"/>
    <s v="内部获奖"/>
    <s v="数字化课题开发"/>
    <s v="普通课题"/>
    <s v="备件管理系统"/>
    <s v="是"/>
    <n v="1.5"/>
    <x v="3"/>
    <n v="8680311"/>
    <m/>
    <n v="1"/>
    <n v="1"/>
    <n v="1.5"/>
  </r>
  <r>
    <n v="112"/>
    <d v="2025-10-01T00:00:00"/>
    <x v="11"/>
    <s v="内部获奖"/>
    <s v="数字化课题开发"/>
    <s v="普通课题"/>
    <s v="DOA员工调动报表每日自动下载"/>
    <s v="否"/>
    <n v="1"/>
    <x v="54"/>
    <n v="8682839"/>
    <m/>
    <n v="1"/>
    <n v="1"/>
    <n v="1"/>
  </r>
  <r>
    <n v="113"/>
    <d v="2025-10-01T00:00:00"/>
    <x v="7"/>
    <s v="内部获奖"/>
    <s v="数字化课题开发"/>
    <s v="普通课题"/>
    <s v="控制模块报文分析"/>
    <s v="是"/>
    <n v="1.5"/>
    <x v="72"/>
    <n v="8683930"/>
    <m/>
    <n v="1"/>
    <n v="1"/>
    <n v="1.5"/>
  </r>
  <r>
    <n v="114"/>
    <d v="2025-10-01T00:00:00"/>
    <x v="11"/>
    <s v="内部获奖"/>
    <s v="数字化课题开发"/>
    <s v="普通课题"/>
    <s v="离职登记自动化"/>
    <s v="是"/>
    <n v="1.5"/>
    <x v="73"/>
    <n v="8682062"/>
    <m/>
    <n v="1"/>
    <n v="1"/>
    <n v="1.5"/>
  </r>
  <r>
    <n v="115"/>
    <d v="2025-10-01T00:00:00"/>
    <x v="2"/>
    <s v="内部获奖"/>
    <s v="数字化课题开发"/>
    <s v="普通课题"/>
    <s v="SAP自动上载数据"/>
    <s v="是"/>
    <n v="1.5"/>
    <x v="74"/>
    <n v="8681593"/>
    <m/>
    <n v="1"/>
    <n v="1"/>
    <n v="1.5"/>
  </r>
  <r>
    <n v="116"/>
    <d v="2025-10-01T00:00:00"/>
    <x v="9"/>
    <s v="内部获奖"/>
    <s v="数字化课题开发"/>
    <s v="普通课题"/>
    <s v="DFN安全环保管理基准助手"/>
    <s v="否"/>
    <n v="1"/>
    <x v="34"/>
    <n v="8696816"/>
    <m/>
    <n v="1"/>
    <n v="1"/>
    <n v="1"/>
  </r>
  <r>
    <n v="117"/>
    <d v="2025-10-01T00:00:00"/>
    <x v="0"/>
    <s v="内部获奖"/>
    <s v="数字化课题开发"/>
    <s v="普通课题"/>
    <s v="车间生产区域摄像头对人员劳保穿戴的检查"/>
    <s v="否"/>
    <n v="1"/>
    <x v="1"/>
    <n v="8676014"/>
    <m/>
    <n v="1"/>
    <n v="1"/>
    <n v="1"/>
  </r>
  <r>
    <n v="118"/>
    <d v="2025-09-27T00:00:00"/>
    <x v="1"/>
    <s v="外部获奖"/>
    <s v="区域级/省级奖项"/>
    <s v="二等奖"/>
    <s v="辽宁省企业管理创新成果"/>
    <s v="否"/>
    <n v="3"/>
    <x v="75"/>
    <n v="8683691"/>
    <s v="基于利润中心模式下整车制造企业降本增效实施"/>
    <n v="1"/>
    <n v="1"/>
    <n v="3"/>
  </r>
  <r>
    <n v="119"/>
    <d v="2025-09-27T00:00:00"/>
    <x v="1"/>
    <s v="外部获奖"/>
    <s v="区域级/省级奖项"/>
    <s v="二等奖"/>
    <s v="辽宁省企业管理创新成果"/>
    <s v="否"/>
    <n v="3"/>
    <x v="39"/>
    <n v="8687765"/>
    <s v="基于敏捷智造理念推动整车制造工厂数字化转型"/>
    <n v="1"/>
    <n v="1"/>
    <n v="3"/>
  </r>
  <r>
    <n v="120"/>
    <d v="2025-09-27T00:00:00"/>
    <x v="9"/>
    <s v="外部获奖"/>
    <s v="DFN级/市级奖项"/>
    <s v="二等奖"/>
    <s v="大连市企业管理创新成果"/>
    <s v="否"/>
    <n v="2"/>
    <x v="76"/>
    <n v="8715714"/>
    <s v="整车制造工厂健康企业管理机制的构建与实践"/>
    <n v="1"/>
    <n v="1"/>
    <n v="2"/>
  </r>
  <r>
    <n v="121"/>
    <d v="2025-09-27T00:00:00"/>
    <x v="5"/>
    <s v="外部获奖"/>
    <s v="DFN级/市级奖项"/>
    <s v="二等奖"/>
    <s v="大连市企业管理创新成果"/>
    <s v="否"/>
    <n v="2"/>
    <x v="55"/>
    <n v="8683928"/>
    <s v="全员质量参与激励机制的游戏化管理实施"/>
    <n v="1"/>
    <n v="1"/>
    <n v="2"/>
  </r>
  <r>
    <n v="122"/>
    <d v="2025-09-27T00:00:00"/>
    <x v="9"/>
    <s v="外部获奖"/>
    <s v="DFN级/市级奖项"/>
    <s v="二等奖"/>
    <s v="大连市企业管理创新成果"/>
    <s v="否"/>
    <n v="2"/>
    <x v="34"/>
    <n v="8696816"/>
    <s v="安全双重预防机制数字化管理模型的构建与应用"/>
    <n v="1"/>
    <n v="1"/>
    <n v="2"/>
  </r>
  <r>
    <n v="123"/>
    <d v="2025-09-27T00:00:00"/>
    <x v="0"/>
    <s v="外部获奖"/>
    <s v="DFN级/市级奖项"/>
    <s v="三等奖"/>
    <s v="大连市企业管理创新成果"/>
    <s v="否"/>
    <n v="1"/>
    <x v="37"/>
    <n v="8615446"/>
    <s v="整车制造工厂焊接车间机器人节能管理"/>
    <n v="1"/>
    <n v="1"/>
    <n v="1"/>
  </r>
  <r>
    <n v="124"/>
    <d v="2025-09-27T00:00:00"/>
    <x v="2"/>
    <s v="外部获奖"/>
    <s v="DFN级/市级奖项"/>
    <s v="三等奖"/>
    <s v="大连市企业管理创新成果"/>
    <s v="否"/>
    <n v="1"/>
    <x v="77"/>
    <n v="8722476"/>
    <s v="整车制造工厂灵活生产组织方式应用与实践"/>
    <n v="1"/>
    <n v="1"/>
    <n v="1"/>
  </r>
  <r>
    <n v="125"/>
    <d v="2025-09-27T00:00:00"/>
    <x v="11"/>
    <s v="外部获奖"/>
    <s v="DFN级/市级奖项"/>
    <s v="三等奖"/>
    <s v="大连市企业管理创新成果"/>
    <s v="否"/>
    <n v="1"/>
    <x v="78"/>
    <n v="8684738"/>
    <s v="利用新媒体扩大整车制造企业影响力的探索与实践"/>
    <n v="1"/>
    <n v="1"/>
    <n v="1"/>
  </r>
  <r>
    <n v="126"/>
    <d v="2025-09-27T00:00:00"/>
    <x v="11"/>
    <s v="外部获奖"/>
    <s v="DFN级/市级奖项"/>
    <s v="三等奖"/>
    <s v="大连市企业管理创新成果"/>
    <s v="否"/>
    <n v="1"/>
    <x v="54"/>
    <n v="8682839"/>
    <s v="整车制造企业转型期人员管理优化"/>
    <n v="1"/>
    <n v="1"/>
    <n v="1"/>
  </r>
  <r>
    <n v="127"/>
    <d v="2025-06-01T00:00:00"/>
    <x v="1"/>
    <s v="外部获奖"/>
    <s v="DFN级/市级奖项"/>
    <s v="一等奖"/>
    <s v="金普新区“工匠杯”职业技能竞赛（装配钳工赛项）"/>
    <s v="否"/>
    <n v="3"/>
    <x v="79"/>
    <n v="8674026"/>
    <s v="第一名"/>
    <n v="1"/>
    <n v="1"/>
    <n v="3"/>
  </r>
  <r>
    <n v="128"/>
    <d v="2025-06-01T00:00:00"/>
    <x v="0"/>
    <s v="外部获奖"/>
    <s v="DFN级/市级奖项"/>
    <s v="三等奖"/>
    <s v="金普新区“工匠杯”职业技能竞赛（装配钳工赛项）"/>
    <s v="否"/>
    <n v="1"/>
    <x v="80"/>
    <n v="8673985"/>
    <s v="第三名"/>
    <n v="1"/>
    <n v="1"/>
    <n v="1"/>
  </r>
  <r>
    <n v="129"/>
    <d v="2025-09-01T00:00:00"/>
    <x v="1"/>
    <s v="外部获奖"/>
    <s v="区域级/省级奖项"/>
    <s v="三等奖"/>
    <s v="辽宁省工业机器人职工职业技能大赛"/>
    <s v="否"/>
    <n v="2"/>
    <x v="81"/>
    <n v="8679420"/>
    <s v="第三名"/>
    <n v="1"/>
    <n v="1"/>
    <n v="2"/>
  </r>
  <r>
    <n v="130"/>
    <d v="2025-10-01T00:00:00"/>
    <x v="6"/>
    <s v="内部获奖"/>
    <s v="数字化课题开发"/>
    <s v="普通课题"/>
    <s v="DL工厂OA热点推送自动化"/>
    <s v="否"/>
    <n v="1"/>
    <x v="30"/>
    <n v="8674056"/>
    <m/>
    <n v="1"/>
    <n v="1"/>
    <n v="1"/>
  </r>
  <r>
    <n v="131"/>
    <d v="2025-10-01T00:00:00"/>
    <x v="6"/>
    <s v="内部获奖"/>
    <s v="数字化课题开发"/>
    <s v="普通课题"/>
    <s v="DL总装改善数据自动化下载"/>
    <s v="否"/>
    <n v="1"/>
    <x v="30"/>
    <n v="8674056"/>
    <m/>
    <n v="1"/>
    <n v="1"/>
    <n v="1"/>
  </r>
  <r>
    <n v="132"/>
    <d v="2025-10-01T00:00:00"/>
    <x v="5"/>
    <s v="内部获奖"/>
    <s v="数字化课题开发"/>
    <s v="普通课题"/>
    <s v="精密测试数据上传TQPM系统自动化导入"/>
    <s v="否"/>
    <n v="1"/>
    <x v="21"/>
    <n v="8673998"/>
    <m/>
    <n v="1"/>
    <n v="1"/>
    <n v="1"/>
  </r>
  <r>
    <n v="133"/>
    <d v="2025-10-01T00:00:00"/>
    <x v="4"/>
    <s v="内部获奖"/>
    <s v="数字化课题开发"/>
    <s v="普通课题"/>
    <s v="RPA_1_QRQC自动更新机器人"/>
    <s v="否"/>
    <n v="1"/>
    <x v="18"/>
    <n v="8676591"/>
    <m/>
    <n v="1"/>
    <n v="1"/>
    <n v="1"/>
  </r>
  <r>
    <n v="134"/>
    <d v="2025-07-01T00:00:00"/>
    <x v="5"/>
    <s v="外部获奖"/>
    <s v="DFN级/市级奖项"/>
    <s v="二等奖"/>
    <s v="GTC技能大赛"/>
    <s v="否"/>
    <n v="2"/>
    <x v="82"/>
    <n v="8674444"/>
    <m/>
    <n v="1"/>
    <n v="1"/>
    <n v="2"/>
  </r>
  <r>
    <n v="135"/>
    <d v="2025-07-01T00:00:00"/>
    <x v="11"/>
    <s v="外部获奖"/>
    <s v="DFN级/市级奖项"/>
    <s v="二等奖"/>
    <s v="GTC技能大赛"/>
    <s v="否"/>
    <n v="2"/>
    <x v="78"/>
    <n v="8684738"/>
    <m/>
    <n v="0.25"/>
    <n v="1"/>
    <n v="0.5"/>
  </r>
  <r>
    <n v="136"/>
    <d v="2025-07-01T00:00:00"/>
    <x v="12"/>
    <s v="外部获奖"/>
    <s v="DFN级/市级奖项"/>
    <s v="二等奖"/>
    <s v="GTC技能大赛"/>
    <s v="否"/>
    <n v="2"/>
    <x v="83"/>
    <n v="8682042"/>
    <m/>
    <n v="0.25"/>
    <n v="1"/>
    <n v="0.5"/>
  </r>
  <r>
    <n v="137"/>
    <d v="2025-07-01T00:00:00"/>
    <x v="12"/>
    <s v="外部获奖"/>
    <s v="DFN级/市级奖项"/>
    <s v="二等奖"/>
    <s v="GTC技能大赛"/>
    <s v="否"/>
    <n v="2"/>
    <x v="84"/>
    <n v="8688875"/>
    <m/>
    <n v="0.25"/>
    <n v="1"/>
    <n v="0.5"/>
  </r>
  <r>
    <n v="138"/>
    <d v="2025-07-01T00:00:00"/>
    <x v="12"/>
    <s v="外部获奖"/>
    <s v="DFN级/市级奖项"/>
    <s v="二等奖"/>
    <s v="GTC技能大赛"/>
    <s v="否"/>
    <n v="2"/>
    <x v="85"/>
    <n v="8681190"/>
    <m/>
    <n v="0.25"/>
    <n v="1"/>
    <n v="0.5"/>
  </r>
  <r>
    <n v="139"/>
    <d v="2025-07-01T00:00:00"/>
    <x v="0"/>
    <s v="外部获奖"/>
    <s v="DFN级/市级奖项"/>
    <s v="三等奖"/>
    <s v="GTC技能大赛"/>
    <s v="否"/>
    <n v="1"/>
    <x v="86"/>
    <n v="8679999"/>
    <m/>
    <n v="0.5"/>
    <n v="1"/>
    <n v="0.5"/>
  </r>
  <r>
    <n v="140"/>
    <d v="2025-07-01T00:00:00"/>
    <x v="0"/>
    <s v="外部获奖"/>
    <s v="DFN级/市级奖项"/>
    <s v="三等奖"/>
    <s v="GTC技能大赛"/>
    <s v="否"/>
    <n v="1"/>
    <x v="87"/>
    <n v="8673982"/>
    <m/>
    <n v="0.5"/>
    <n v="1"/>
    <n v="0.5"/>
  </r>
  <r>
    <n v="141"/>
    <d v="2025-11-01T00:00:00"/>
    <x v="5"/>
    <s v="内部获奖"/>
    <s v="数字化课题开发"/>
    <s v="普通课题"/>
    <s v="N7市场TR自动分析及日报发送"/>
    <s v="是"/>
    <n v="1.5"/>
    <x v="33"/>
    <n v="8687986"/>
    <m/>
    <n v="1"/>
    <n v="1"/>
    <n v="1.5"/>
  </r>
  <r>
    <n v="142"/>
    <d v="2025-11-01T00:00:00"/>
    <x v="6"/>
    <s v="内部获奖"/>
    <s v="数字化课题开发"/>
    <s v="普通课题"/>
    <s v="DL总装品质数据自动化下载"/>
    <s v="是"/>
    <n v="1.5"/>
    <x v="47"/>
    <n v="8676584"/>
    <m/>
    <n v="1"/>
    <n v="1"/>
    <n v="1.5"/>
  </r>
  <r>
    <n v="143"/>
    <d v="2025-11-01T00:00:00"/>
    <x v="3"/>
    <s v="内部获奖"/>
    <s v="数字化课题开发"/>
    <s v="重点课题"/>
    <s v="涂树信息平台-返工信息录入追溯"/>
    <s v="否"/>
    <n v="2"/>
    <x v="49"/>
    <n v="8681396"/>
    <m/>
    <n v="1"/>
    <n v="1"/>
    <n v="2"/>
  </r>
  <r>
    <n v="144"/>
    <d v="2025-11-01T00:00:00"/>
    <x v="5"/>
    <s v="内部获奖"/>
    <s v="数字化课题开发"/>
    <s v="普通课题"/>
    <s v="QIC单临期自动提醒"/>
    <s v="是"/>
    <n v="1.5"/>
    <x v="88"/>
    <n v="8613369"/>
    <m/>
    <n v="1"/>
    <n v="1"/>
    <n v="1.5"/>
  </r>
  <r>
    <n v="145"/>
    <d v="2025-11-01T00:00:00"/>
    <x v="0"/>
    <s v="内部获奖"/>
    <s v="数字化课题开发"/>
    <s v="普通课题"/>
    <s v="大连工厂工会助手"/>
    <s v="是"/>
    <n v="1.5"/>
    <x v="89"/>
    <n v="8674030"/>
    <m/>
    <n v="1"/>
    <n v="1"/>
    <n v="1.5"/>
  </r>
  <r>
    <n v="146"/>
    <d v="2025-11-01T00:00:00"/>
    <x v="6"/>
    <s v="内部获奖"/>
    <s v="数字化课题开发"/>
    <s v="普通课题"/>
    <s v="力矩校正仪无线传输数据"/>
    <s v="是"/>
    <n v="1.5"/>
    <x v="90"/>
    <n v="8679950"/>
    <m/>
    <n v="1"/>
    <n v="1"/>
    <n v="1.5"/>
  </r>
  <r>
    <n v="147"/>
    <d v="2025-11-01T00:00:00"/>
    <x v="7"/>
    <s v="内部获奖"/>
    <s v="数字化课题开发"/>
    <s v="普通课题"/>
    <s v="DL焊装滚边工艺机器人涂折边胶参数的提取"/>
    <s v="是"/>
    <n v="1.5"/>
    <x v="91"/>
    <n v="8692280"/>
    <m/>
    <n v="1"/>
    <n v="1"/>
    <n v="1.5"/>
  </r>
  <r>
    <n v="148"/>
    <d v="2025-11-01T00:00:00"/>
    <x v="11"/>
    <s v="内部获奖"/>
    <s v="数字化课题开发"/>
    <s v="普通课题"/>
    <s v="员工培训咨询事项指引"/>
    <s v="是"/>
    <n v="1.5"/>
    <x v="92"/>
    <n v="8730581"/>
    <m/>
    <n v="1"/>
    <n v="1"/>
    <n v="1.5"/>
  </r>
  <r>
    <n v="149"/>
    <d v="2025-11-01T00:00:00"/>
    <x v="5"/>
    <s v="内部获奖"/>
    <s v="数字化课题开发"/>
    <s v="普通课题"/>
    <s v="整车品质问题及解析对策查询助手"/>
    <s v="否"/>
    <n v="1"/>
    <x v="21"/>
    <n v="8673998"/>
    <m/>
    <n v="1"/>
    <n v="1"/>
    <n v="1"/>
  </r>
  <r>
    <n v="150"/>
    <d v="2025-11-01T00:00:00"/>
    <x v="5"/>
    <s v="内部获奖"/>
    <s v="数字化课题开发"/>
    <s v="普通课题"/>
    <s v="最大转向角信息自动录入"/>
    <s v="是"/>
    <n v="1.5"/>
    <x v="43"/>
    <n v="8613616"/>
    <m/>
    <n v="1"/>
    <n v="1"/>
    <n v="1.5"/>
  </r>
  <r>
    <n v="151"/>
    <d v="2025-11-01T00:00:00"/>
    <x v="9"/>
    <s v="内部获奖"/>
    <s v="数字化课题开发"/>
    <s v="普通课题"/>
    <s v="职业健康档案一页纸"/>
    <s v="是"/>
    <n v="1.5"/>
    <x v="76"/>
    <n v="8715714"/>
    <m/>
    <n v="1"/>
    <n v="1"/>
    <n v="1.5"/>
  </r>
  <r>
    <n v="152"/>
    <d v="2025-11-01T00:00:00"/>
    <x v="5"/>
    <s v="内部获奖"/>
    <s v="数字化课题开发"/>
    <s v="普通课题"/>
    <s v="一岗双责执行清单预警提示"/>
    <s v="否"/>
    <n v="1"/>
    <x v="88"/>
    <n v="8613369"/>
    <m/>
    <n v="1"/>
    <n v="1"/>
    <n v="1"/>
  </r>
  <r>
    <n v="153"/>
    <d v="2025-11-01T00:00:00"/>
    <x v="1"/>
    <s v="内部获奖"/>
    <s v="数字化课题开发"/>
    <s v="普通课题"/>
    <s v="大连工厂计划内工时预测"/>
    <s v="是"/>
    <n v="1.5"/>
    <x v="7"/>
    <n v="8698876"/>
    <m/>
    <n v="1"/>
    <n v="1"/>
    <n v="1.5"/>
  </r>
  <r>
    <n v="154"/>
    <d v="2025-11-01T00:00:00"/>
    <x v="5"/>
    <s v="内部获奖"/>
    <s v="数字化课题开发"/>
    <s v="普通课题"/>
    <s v="路试检查日报自动发送"/>
    <s v="是"/>
    <n v="1.5"/>
    <x v="93"/>
    <n v="8679860"/>
    <m/>
    <n v="1"/>
    <n v="1"/>
    <n v="1.5"/>
  </r>
  <r>
    <n v="155"/>
    <d v="2025-11-01T00:00:00"/>
    <x v="5"/>
    <s v="内部获奖"/>
    <s v="数字化课题开发"/>
    <s v="普通课题"/>
    <s v="每日OFF-VES评价报表商品化检出率日报邮件自动发送"/>
    <s v="是"/>
    <n v="1.5"/>
    <x v="94"/>
    <n v="8665428"/>
    <m/>
    <n v="1"/>
    <n v="1"/>
    <n v="1.5"/>
  </r>
  <r>
    <n v="156"/>
    <d v="2025-11-01T00:00:00"/>
    <x v="6"/>
    <s v="内部获奖"/>
    <s v="数字化课题开发"/>
    <s v="普通课题"/>
    <s v="品质信息全员推送"/>
    <s v="是"/>
    <n v="1.5"/>
    <x v="95"/>
    <n v="8674002"/>
    <m/>
    <n v="1"/>
    <n v="1"/>
    <n v="1.5"/>
  </r>
  <r>
    <n v="157"/>
    <d v="2025-11-01T00:00:00"/>
    <x v="5"/>
    <s v="内部获奖"/>
    <s v="数字化课题开发"/>
    <s v="普通课题"/>
    <s v="商、检、路班组指摘问题自动发送机器人"/>
    <s v="是"/>
    <n v="1.5"/>
    <x v="96"/>
    <n v="8612525"/>
    <m/>
    <n v="1"/>
    <n v="1"/>
    <n v="1.5"/>
  </r>
  <r>
    <n v="158"/>
    <d v="2025-11-01T00:00:00"/>
    <x v="5"/>
    <s v="内部获奖"/>
    <s v="数字化课题开发"/>
    <s v="普通课题"/>
    <s v="车体颜色趋势数字化管理"/>
    <s v="是"/>
    <n v="1.5"/>
    <x v="97"/>
    <n v="8613221"/>
    <m/>
    <n v="1"/>
    <n v="1"/>
    <n v="1.5"/>
  </r>
  <r>
    <n v="159"/>
    <d v="2025-11-01T00:00:00"/>
    <x v="4"/>
    <s v="内部获奖"/>
    <s v="数字化课题开发"/>
    <s v="普通课题"/>
    <s v="自动分发生产计划"/>
    <s v="是"/>
    <n v="1.5"/>
    <x v="98"/>
    <n v="8614212"/>
    <m/>
    <n v="1"/>
    <n v="1"/>
    <n v="1.5"/>
  </r>
  <r>
    <n v="160"/>
    <d v="2025-11-01T00:00:00"/>
    <x v="3"/>
    <s v="内部获奖"/>
    <s v="数字化课题开发"/>
    <s v="普通课题"/>
    <s v="团委年度工作推进管控机器人"/>
    <s v="是"/>
    <n v="1.5"/>
    <x v="99"/>
    <n v="8679425"/>
    <m/>
    <n v="1"/>
    <n v="1"/>
    <n v="1.5"/>
  </r>
  <r>
    <n v="161"/>
    <d v="2025-11-01T00:00:00"/>
    <x v="2"/>
    <s v="内部获奖"/>
    <s v="数字化课题开发"/>
    <s v="普通课题"/>
    <s v="pumas未纳自动发送"/>
    <s v="是"/>
    <n v="1.5"/>
    <x v="9"/>
    <n v="8683979"/>
    <m/>
    <n v="1"/>
    <n v="1"/>
    <n v="1.5"/>
  </r>
  <r>
    <n v="162"/>
    <d v="2025-11-01T00:00:00"/>
    <x v="3"/>
    <s v="内部获奖"/>
    <s v="数字化课题开发"/>
    <s v="普通课题"/>
    <s v="HPU日动态管控"/>
    <s v="否"/>
    <n v="1"/>
    <x v="38"/>
    <n v="8683064"/>
    <m/>
    <n v="1"/>
    <n v="1"/>
    <n v="1"/>
  </r>
  <r>
    <n v="163"/>
    <d v="2025-11-15T00:00:00"/>
    <x v="5"/>
    <s v="内部获奖"/>
    <s v="数字化课题开发"/>
    <s v="普通课题"/>
    <s v="AVM、DCM后台long与生产信息自动匹对"/>
    <s v="否"/>
    <n v="1"/>
    <x v="43"/>
    <n v="8613616"/>
    <m/>
    <n v="1"/>
    <n v="1"/>
    <n v="1"/>
  </r>
  <r>
    <n v="164"/>
    <d v="2025-11-15T00:00:00"/>
    <x v="11"/>
    <s v="内部获奖"/>
    <s v="数字化课题开发"/>
    <s v="普通课题"/>
    <s v="编外学习计划未实施项目明细查询及导出"/>
    <s v="否"/>
    <n v="1"/>
    <x v="92"/>
    <n v="8730581"/>
    <m/>
    <n v="1"/>
    <n v="1"/>
    <n v="1"/>
  </r>
  <r>
    <n v="165"/>
    <d v="2025-11-15T00:00:00"/>
    <x v="11"/>
    <s v="内部获奖"/>
    <s v="数字化课题开发"/>
    <s v="普通课题"/>
    <s v="月度各科室层级单位学习参训情况查询及导出"/>
    <s v="否"/>
    <n v="1"/>
    <x v="92"/>
    <n v="8730581"/>
    <m/>
    <n v="1"/>
    <n v="1"/>
    <n v="1"/>
  </r>
  <r>
    <n v="166"/>
    <d v="2025-11-15T00:00:00"/>
    <x v="6"/>
    <s v="内部获奖"/>
    <s v="数字化课题开发"/>
    <s v="普通课题"/>
    <s v="变速箱条码数字化"/>
    <s v="是"/>
    <n v="1.5"/>
    <x v="100"/>
    <n v="8650621"/>
    <m/>
    <n v="1"/>
    <n v="1"/>
    <n v="1.5"/>
  </r>
  <r>
    <n v="167"/>
    <d v="2025-11-15T00:00:00"/>
    <x v="7"/>
    <s v="内部获奖"/>
    <s v="数字化课题开发"/>
    <s v="普通课题"/>
    <s v="防锈数据处理工作流"/>
    <s v="是"/>
    <n v="1.5"/>
    <x v="101"/>
    <n v="8696729"/>
    <m/>
    <n v="1"/>
    <n v="1"/>
    <n v="1.5"/>
  </r>
  <r>
    <n v="168"/>
    <d v="2025-11-15T00:00:00"/>
    <x v="11"/>
    <s v="内部获奖"/>
    <s v="数字化课题开发"/>
    <s v="普通课题"/>
    <s v="学院当月内部讲师授课情况明细查询及导出"/>
    <s v="否"/>
    <n v="1"/>
    <x v="92"/>
    <n v="8730581"/>
    <m/>
    <n v="1"/>
    <n v="1"/>
    <n v="1"/>
  </r>
  <r>
    <n v="169"/>
    <d v="2025-11-15T00:00:00"/>
    <x v="11"/>
    <s v="内部获奖"/>
    <s v="数字化课题开发"/>
    <s v="普通课题"/>
    <s v="年度整体学习计划实施情况查询及导出"/>
    <s v="否"/>
    <n v="1"/>
    <x v="92"/>
    <n v="8730581"/>
    <m/>
    <n v="1"/>
    <n v="1"/>
    <n v="1"/>
  </r>
  <r>
    <n v="170"/>
    <d v="2025-12-01T00:00:00"/>
    <x v="1"/>
    <s v="内部获奖"/>
    <s v="数字化课题开发"/>
    <s v="普通课题"/>
    <s v="大连工厂计量器具智能管理系统"/>
    <s v="否"/>
    <n v="1"/>
    <x v="5"/>
    <n v="8680291"/>
    <m/>
    <n v="1"/>
    <n v="1"/>
    <n v="1"/>
  </r>
  <r>
    <n v="171"/>
    <d v="2025-12-01T00:00:00"/>
    <x v="0"/>
    <s v="内部获奖"/>
    <s v="数字化课题开发"/>
    <s v="普通课题"/>
    <s v="四合一加注机数据分析助手"/>
    <s v="否"/>
    <n v="1"/>
    <x v="68"/>
    <n v="8719234"/>
    <m/>
    <n v="1"/>
    <n v="1"/>
    <n v="1"/>
  </r>
  <r>
    <n v="172"/>
    <d v="2025-12-01T00:00:00"/>
    <x v="3"/>
    <s v="内部获奖"/>
    <s v="数字化课题开发"/>
    <s v="普通课题"/>
    <s v="成型工艺不良分析改善建议与指导"/>
    <s v="是"/>
    <n v="1.5"/>
    <x v="102"/>
    <n v="8681219"/>
    <m/>
    <n v="1"/>
    <n v="1"/>
    <n v="1.5"/>
  </r>
  <r>
    <n v="173"/>
    <d v="2025-12-01T00:00:00"/>
    <x v="5"/>
    <s v="内部获奖"/>
    <s v="数字化课题开发"/>
    <s v="普通课题"/>
    <s v="品质月度分析报表一键生成"/>
    <s v="是"/>
    <n v="1.5"/>
    <x v="103"/>
    <n v="8683690"/>
    <m/>
    <n v="1"/>
    <n v="1"/>
    <n v="1.5"/>
  </r>
  <r>
    <n v="174"/>
    <d v="2025-12-01T00:00:00"/>
    <x v="7"/>
    <s v="内部获奖"/>
    <s v="数字化课题开发"/>
    <s v="普通课题"/>
    <s v="涂装VOCs数据自动统计"/>
    <s v="是"/>
    <n v="1.5"/>
    <x v="104"/>
    <n v="8687965"/>
    <m/>
    <n v="1"/>
    <n v="1"/>
    <n v="1.5"/>
  </r>
  <r>
    <n v="175"/>
    <d v="2025-12-01T00:00:00"/>
    <x v="3"/>
    <s v="内部获奖"/>
    <s v="数字化课题开发"/>
    <s v="普通课题"/>
    <s v="工作提醒小助手"/>
    <s v="是"/>
    <n v="1.5"/>
    <x v="105"/>
    <n v="8613426"/>
    <m/>
    <n v="1"/>
    <n v="1"/>
    <n v="1.5"/>
  </r>
  <r>
    <n v="176"/>
    <d v="2025-12-01T00:00:00"/>
    <x v="9"/>
    <s v="内部获奖"/>
    <s v="数字化课题开发"/>
    <s v="普通课题"/>
    <s v="人员资质自动提醒流程"/>
    <s v="否"/>
    <n v="1"/>
    <x v="106"/>
    <n v="8730580"/>
    <m/>
    <n v="1"/>
    <n v="1"/>
    <n v="1"/>
  </r>
  <r>
    <n v="177"/>
    <d v="2025-12-01T00:00:00"/>
    <x v="9"/>
    <s v="外部获奖"/>
    <s v="DFN级/市级奖项"/>
    <s v="一等奖"/>
    <s v="2025东风日产EHS年度课题发表"/>
    <s v="否"/>
    <n v="3"/>
    <x v="34"/>
    <n v="8696816"/>
    <m/>
    <n v="1"/>
    <n v="1"/>
    <n v="3"/>
  </r>
  <r>
    <m/>
    <m/>
    <x v="13"/>
    <m/>
    <m/>
    <m/>
    <m/>
    <m/>
    <m/>
    <x v="10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9E3EA-EBDE-42A1-B605-D2C6FD4FA49A}" name="积分榜" cacheId="0" applyNumberFormats="0" applyBorderFormats="0" applyFontFormats="0" applyPatternFormats="0" applyAlignmentFormats="0" applyWidthHeightFormats="1" dataCaption="值" showMissing="0" updatedVersion="7" minRefreshableVersion="3" showDrill="0" useAutoFormatting="1" rowGrandTotals="0" colGrandTotals="0" itemPrintTitles="1" createdVersion="7" indent="0" outline="1" outlineData="1" multipleFieldFilters="0" rowHeaderCaption="姓名" customListSort="0">
  <location ref="A1:C110" firstHeaderRow="1" firstDataRow="1" firstDataCol="2"/>
  <pivotFields count="15">
    <pivotField showAll="0"/>
    <pivotField showAll="0"/>
    <pivotField axis="axisRow" showAll="0">
      <items count="20">
        <item m="1" x="18"/>
        <item m="1" x="16"/>
        <item x="1"/>
        <item m="1" x="14"/>
        <item x="5"/>
        <item x="0"/>
        <item x="2"/>
        <item m="1" x="15"/>
        <item x="6"/>
        <item x="13"/>
        <item x="9"/>
        <item x="7"/>
        <item m="1" x="17"/>
        <item x="3"/>
        <item x="4"/>
        <item x="10"/>
        <item x="8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name="姓名" axis="axisRow" outline="0" showAll="0" sortType="descending" defaultSubtotal="0">
      <items count="108">
        <item x="13"/>
        <item x="30"/>
        <item x="25"/>
        <item x="32"/>
        <item x="26"/>
        <item x="29"/>
        <item x="23"/>
        <item x="6"/>
        <item x="14"/>
        <item x="15"/>
        <item x="22"/>
        <item x="8"/>
        <item x="1"/>
        <item x="17"/>
        <item x="18"/>
        <item x="2"/>
        <item x="4"/>
        <item x="7"/>
        <item x="0"/>
        <item x="5"/>
        <item x="12"/>
        <item x="27"/>
        <item x="19"/>
        <item x="31"/>
        <item x="16"/>
        <item x="21"/>
        <item x="9"/>
        <item x="3"/>
        <item x="28"/>
        <item x="20"/>
        <item x="10"/>
        <item x="11"/>
        <item x="24"/>
        <item x="107"/>
        <item x="33"/>
        <item x="34"/>
        <item x="72"/>
        <item x="36"/>
        <item x="37"/>
        <item x="38"/>
        <item x="39"/>
        <item x="40"/>
        <item x="54"/>
        <item x="35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5"/>
        <item x="56"/>
        <item x="57"/>
        <item x="58"/>
        <item x="53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2">
    <field x="9"/>
    <field x="2"/>
  </rowFields>
  <rowItems count="109">
    <i>
      <x v="37"/>
      <x v="2"/>
    </i>
    <i>
      <x v="35"/>
      <x v="10"/>
    </i>
    <i>
      <x v="40"/>
      <x v="2"/>
    </i>
    <i>
      <x v="18"/>
      <x v="5"/>
    </i>
    <i>
      <x v="19"/>
      <x v="2"/>
    </i>
    <i>
      <x v="14"/>
      <x v="14"/>
    </i>
    <i>
      <x v="57"/>
      <x v="11"/>
    </i>
    <i>
      <x v="42"/>
      <x v="17"/>
    </i>
    <i>
      <x v="93"/>
      <x v="17"/>
    </i>
    <i>
      <x v="31"/>
      <x v="6"/>
    </i>
    <i>
      <x v="25"/>
      <x v="4"/>
    </i>
    <i>
      <x v="52"/>
      <x v="13"/>
    </i>
    <i>
      <x v="56"/>
      <x v="4"/>
    </i>
    <i>
      <x v="1"/>
      <x v="8"/>
    </i>
    <i>
      <x v="62"/>
      <x v="5"/>
    </i>
    <i>
      <x v="17"/>
      <x v="2"/>
    </i>
    <i>
      <x v="58"/>
      <x v="5"/>
    </i>
    <i>
      <x v="38"/>
      <x v="5"/>
    </i>
    <i>
      <x v="60"/>
      <x v="2"/>
    </i>
    <i>
      <x v="55"/>
      <x v="5"/>
    </i>
    <i>
      <x v="43"/>
      <x v="11"/>
    </i>
    <i>
      <x v="77"/>
      <x v="10"/>
    </i>
    <i>
      <x v="46"/>
      <x v="4"/>
    </i>
    <i>
      <x v="39"/>
      <x v="13"/>
    </i>
    <i>
      <x v="59"/>
      <x v="5"/>
    </i>
    <i>
      <x v="21"/>
      <x v="8"/>
    </i>
    <i>
      <x v="80"/>
      <x v="2"/>
    </i>
    <i>
      <x v="76"/>
      <x v="2"/>
    </i>
    <i>
      <x v="47"/>
      <x v="5"/>
    </i>
    <i>
      <x v="28"/>
      <x v="11"/>
    </i>
    <i>
      <x v="89"/>
      <x v="4"/>
    </i>
    <i>
      <x v="41"/>
      <x v="5"/>
    </i>
    <i>
      <x v="61"/>
      <x v="11"/>
    </i>
    <i>
      <x v="34"/>
      <x v="4"/>
    </i>
    <i>
      <x v="70"/>
      <x v="5"/>
    </i>
    <i>
      <x v="20"/>
      <x v="6"/>
    </i>
    <i>
      <x v="13"/>
      <x v="14"/>
    </i>
    <i>
      <x v="82"/>
      <x v="2"/>
    </i>
    <i>
      <x v="50"/>
      <x v="8"/>
    </i>
    <i>
      <x v="83"/>
      <x v="4"/>
    </i>
    <i>
      <x v="23"/>
      <x v="4"/>
    </i>
    <i>
      <x v="27"/>
      <x v="5"/>
    </i>
    <i>
      <x v="11"/>
      <x v="4"/>
    </i>
    <i r="1">
      <x v="6"/>
    </i>
    <i>
      <x v="26"/>
      <x v="6"/>
    </i>
    <i>
      <x v="92"/>
      <x v="11"/>
    </i>
    <i>
      <x v="65"/>
      <x v="11"/>
    </i>
    <i>
      <x v="98"/>
      <x v="4"/>
    </i>
    <i>
      <x v="100"/>
      <x v="13"/>
    </i>
    <i>
      <x v="90"/>
      <x v="5"/>
    </i>
    <i>
      <x v="101"/>
      <x v="8"/>
    </i>
    <i>
      <x v="96"/>
      <x v="8"/>
    </i>
    <i>
      <x v="103"/>
      <x v="13"/>
    </i>
    <i>
      <x v="66"/>
      <x v="5"/>
    </i>
    <i>
      <x v="105"/>
      <x v="11"/>
    </i>
    <i>
      <x v="67"/>
      <x v="14"/>
    </i>
    <i>
      <x v="75"/>
      <x v="6"/>
    </i>
    <i>
      <x v="91"/>
      <x v="8"/>
    </i>
    <i>
      <x v="36"/>
      <x v="11"/>
    </i>
    <i>
      <x v="68"/>
      <x v="11"/>
    </i>
    <i>
      <x v="94"/>
      <x v="4"/>
    </i>
    <i>
      <x v="95"/>
      <x v="4"/>
    </i>
    <i>
      <x v="44"/>
      <x v="13"/>
    </i>
    <i>
      <x v="97"/>
      <x v="4"/>
    </i>
    <i>
      <x v="79"/>
      <x v="17"/>
    </i>
    <i>
      <x v="99"/>
      <x v="14"/>
    </i>
    <i>
      <x v="45"/>
      <x v="5"/>
    </i>
    <i>
      <x v="64"/>
      <x v="4"/>
    </i>
    <i>
      <x v="102"/>
      <x v="11"/>
    </i>
    <i>
      <x v="3"/>
      <x v="16"/>
    </i>
    <i>
      <x v="104"/>
      <x v="4"/>
    </i>
    <i>
      <x v="73"/>
      <x v="11"/>
    </i>
    <i>
      <x v="106"/>
      <x v="13"/>
    </i>
    <i>
      <x v="74"/>
      <x v="17"/>
    </i>
    <i>
      <x v="72"/>
      <x v="4"/>
    </i>
    <i>
      <x v="12"/>
      <x v="5"/>
    </i>
    <i>
      <x v="81"/>
      <x v="5"/>
    </i>
    <i>
      <x v="107"/>
      <x v="10"/>
    </i>
    <i>
      <x v="69"/>
      <x v="14"/>
    </i>
    <i>
      <x v="78"/>
      <x v="6"/>
    </i>
    <i>
      <x v="49"/>
      <x v="15"/>
    </i>
    <i>
      <x v="48"/>
      <x v="14"/>
    </i>
    <i>
      <x v="71"/>
      <x v="16"/>
    </i>
    <i>
      <x v="63"/>
      <x v="11"/>
    </i>
    <i>
      <x v="24"/>
      <x v="5"/>
    </i>
    <i>
      <x v="9"/>
      <x v="13"/>
    </i>
    <i>
      <x v="8"/>
      <x v="13"/>
    </i>
    <i>
      <x v="4"/>
      <x v="8"/>
    </i>
    <i>
      <x v="88"/>
      <x v="5"/>
    </i>
    <i>
      <x v="85"/>
      <x v="18"/>
    </i>
    <i>
      <x v="84"/>
      <x v="18"/>
    </i>
    <i>
      <x v="87"/>
      <x v="5"/>
    </i>
    <i>
      <x v="86"/>
      <x v="18"/>
    </i>
    <i>
      <x v="54"/>
      <x v="14"/>
    </i>
    <i>
      <x v="51"/>
      <x v="5"/>
    </i>
    <i>
      <x v="53"/>
      <x v="13"/>
    </i>
    <i>
      <x v="16"/>
      <x v="5"/>
    </i>
    <i>
      <x v="15"/>
      <x v="5"/>
    </i>
    <i>
      <x/>
      <x v="6"/>
    </i>
    <i>
      <x v="30"/>
      <x v="6"/>
    </i>
    <i>
      <x v="6"/>
      <x v="4"/>
    </i>
    <i>
      <x v="29"/>
      <x v="4"/>
    </i>
    <i>
      <x v="22"/>
      <x v="14"/>
    </i>
    <i>
      <x v="32"/>
      <x v="4"/>
    </i>
    <i>
      <x v="10"/>
      <x v="4"/>
    </i>
    <i>
      <x v="7"/>
      <x v="2"/>
    </i>
    <i>
      <x v="2"/>
      <x v="8"/>
    </i>
    <i>
      <x v="5"/>
      <x v="8"/>
    </i>
    <i>
      <x v="33"/>
      <x v="9"/>
    </i>
  </rowItems>
  <colItems count="1">
    <i/>
  </colItems>
  <dataFields count="1">
    <dataField name="总积分" fld="14" baseField="9" baseItem="25" numFmtId="176"/>
  </dataFields>
  <formats count="490">
    <format dxfId="573">
      <pivotArea outline="0" collapsedLevelsAreSubtotals="1" fieldPosition="0"/>
    </format>
    <format dxfId="572">
      <pivotArea dataOnly="0" labelOnly="1" outline="0" axis="axisValues" fieldPosition="0"/>
    </format>
    <format dxfId="571">
      <pivotArea type="all" dataOnly="0" outline="0" fieldPosition="0"/>
    </format>
    <format dxfId="570">
      <pivotArea outline="0" collapsedLevelsAreSubtotals="1" fieldPosition="0"/>
    </format>
    <format dxfId="569">
      <pivotArea field="9" type="button" dataOnly="0" labelOnly="1" outline="0" axis="axisRow" fieldPosition="0"/>
    </format>
    <format dxfId="568">
      <pivotArea field="2" type="button" dataOnly="0" labelOnly="1" outline="0" axis="axisRow" fieldPosition="1"/>
    </format>
    <format dxfId="567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566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565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564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563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562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561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560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559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558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557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556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555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554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553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552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551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550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549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548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547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546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545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544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543">
      <pivotArea dataOnly="0" labelOnly="1" outline="0" axis="axisValues" fieldPosition="0"/>
    </format>
    <format dxfId="542">
      <pivotArea type="all" dataOnly="0" outline="0" fieldPosition="0"/>
    </format>
    <format dxfId="541">
      <pivotArea outline="0" collapsedLevelsAreSubtotals="1" fieldPosition="0"/>
    </format>
    <format dxfId="540">
      <pivotArea dataOnly="0" labelOnly="1" outline="0" axis="axisValues" fieldPosition="0"/>
    </format>
    <format dxfId="539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538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537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536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535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534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533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532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531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530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529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528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527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526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525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524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523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522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521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520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519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518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517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516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515">
      <pivotArea field="9" type="button" dataOnly="0" labelOnly="1" outline="0" axis="axisRow" fieldPosition="0"/>
    </format>
    <format dxfId="514">
      <pivotArea field="2" type="button" dataOnly="0" labelOnly="1" outline="0" axis="axisRow" fieldPosition="1"/>
    </format>
    <format dxfId="513">
      <pivotArea field="9" type="button" dataOnly="0" labelOnly="1" outline="0" axis="axisRow" fieldPosition="0"/>
    </format>
    <format dxfId="512">
      <pivotArea field="2" type="button" dataOnly="0" labelOnly="1" outline="0" axis="axisRow" fieldPosition="1"/>
    </format>
    <format dxfId="511">
      <pivotArea dataOnly="0" labelOnly="1" outline="0" axis="axisValues" fieldPosition="0"/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9" type="button" dataOnly="0" labelOnly="1" outline="0" axis="axisRow" fieldPosition="0"/>
    </format>
    <format dxfId="507">
      <pivotArea field="2" type="button" dataOnly="0" labelOnly="1" outline="0" axis="axisRow" fieldPosition="1"/>
    </format>
    <format dxfId="506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505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504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503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502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501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500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499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498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497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496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495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494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493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492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491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490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489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488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487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486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485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484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483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482">
      <pivotArea dataOnly="0" labelOnly="1" outline="0" axis="axisValues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field="9" type="button" dataOnly="0" labelOnly="1" outline="0" axis="axisRow" fieldPosition="0"/>
    </format>
    <format dxfId="478">
      <pivotArea field="2" type="button" dataOnly="0" labelOnly="1" outline="0" axis="axisRow" fieldPosition="1"/>
    </format>
    <format dxfId="477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476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475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474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473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472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471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470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469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468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467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466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465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464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463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462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461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460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459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458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457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456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455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454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453">
      <pivotArea dataOnly="0" labelOnly="1" outline="0" axis="axisValues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9" type="button" dataOnly="0" labelOnly="1" outline="0" axis="axisRow" fieldPosition="0"/>
    </format>
    <format dxfId="449">
      <pivotArea field="2" type="button" dataOnly="0" labelOnly="1" outline="0" axis="axisRow" fieldPosition="1"/>
    </format>
    <format dxfId="448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447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446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445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444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443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442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441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440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439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438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437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436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435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434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433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432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431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430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429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428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427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426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425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424">
      <pivotArea dataOnly="0" labelOnly="1" outline="0" axis="axisValues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9" type="button" dataOnly="0" labelOnly="1" outline="0" axis="axisRow" fieldPosition="0"/>
    </format>
    <format dxfId="420">
      <pivotArea field="2" type="button" dataOnly="0" labelOnly="1" outline="0" axis="axisRow" fieldPosition="1"/>
    </format>
    <format dxfId="419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418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417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416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415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414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413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412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411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410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409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408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407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406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405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404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403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402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401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400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399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398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397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396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395">
      <pivotArea dataOnly="0" labelOnly="1" outline="0" axis="axisValues" fieldPosition="0"/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9" type="button" dataOnly="0" labelOnly="1" outline="0" axis="axisRow" fieldPosition="0"/>
    </format>
    <format dxfId="391">
      <pivotArea field="2" type="button" dataOnly="0" labelOnly="1" outline="0" axis="axisRow" fieldPosition="1"/>
    </format>
    <format dxfId="390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389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388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387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386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385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384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383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382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381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380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379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378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377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376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375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374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373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372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371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370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369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368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367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9" type="button" dataOnly="0" labelOnly="1" outline="0" axis="axisRow" fieldPosition="0"/>
    </format>
    <format dxfId="362">
      <pivotArea field="2" type="button" dataOnly="0" labelOnly="1" outline="0" axis="axisRow" fieldPosition="1"/>
    </format>
    <format dxfId="361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360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359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358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357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356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355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354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353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352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351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350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349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348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347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346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345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344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343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342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341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340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339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338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337">
      <pivotArea dataOnly="0" labelOnly="1" outline="0" axis="axisValues" fieldPosition="0"/>
    </format>
    <format dxfId="336">
      <pivotArea type="all" dataOnly="0" outline="0" fieldPosition="0"/>
    </format>
    <format dxfId="335">
      <pivotArea outline="0" collapsedLevelsAreSubtotals="1" fieldPosition="0"/>
    </format>
    <format dxfId="334">
      <pivotArea field="9" type="button" dataOnly="0" labelOnly="1" outline="0" axis="axisRow" fieldPosition="0"/>
    </format>
    <format dxfId="333">
      <pivotArea field="2" type="button" dataOnly="0" labelOnly="1" outline="0" axis="axisRow" fieldPosition="1"/>
    </format>
    <format dxfId="332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331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330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329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328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327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326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325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324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323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322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321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320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319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318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317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316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315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314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313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312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311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310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309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308">
      <pivotArea dataOnly="0" labelOnly="1" outline="0" axis="axisValues" fieldPosition="0"/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9" type="button" dataOnly="0" labelOnly="1" outline="0" axis="axisRow" fieldPosition="0"/>
    </format>
    <format dxfId="304">
      <pivotArea field="2" type="button" dataOnly="0" labelOnly="1" outline="0" axis="axisRow" fieldPosition="1"/>
    </format>
    <format dxfId="303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302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301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300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299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298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297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296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295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294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293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292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291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290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289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288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287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286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285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284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283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282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281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280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279">
      <pivotArea dataOnly="0" labelOnly="1" outline="0" axis="axisValues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9" type="button" dataOnly="0" labelOnly="1" outline="0" axis="axisRow" fieldPosition="0"/>
    </format>
    <format dxfId="275">
      <pivotArea field="2" type="button" dataOnly="0" labelOnly="1" outline="0" axis="axisRow" fieldPosition="1"/>
    </format>
    <format dxfId="274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273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272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271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270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269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268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267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266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265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264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263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262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261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260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259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258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257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256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255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254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253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252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251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250">
      <pivotArea dataOnly="0" labelOnly="1" outline="0" axis="axisValues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9" type="button" dataOnly="0" labelOnly="1" outline="0" axis="axisRow" fieldPosition="0"/>
    </format>
    <format dxfId="246">
      <pivotArea field="2" type="button" dataOnly="0" labelOnly="1" outline="0" axis="axisRow" fieldPosition="1"/>
    </format>
    <format dxfId="245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244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243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242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241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240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239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238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237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236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235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234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233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232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231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230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229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228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227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226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225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224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223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222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221">
      <pivotArea dataOnly="0" labelOnly="1" outline="0" axis="axisValues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9" type="button" dataOnly="0" labelOnly="1" outline="0" axis="axisRow" fieldPosition="0"/>
    </format>
    <format dxfId="217">
      <pivotArea field="2" type="button" dataOnly="0" labelOnly="1" outline="0" axis="axisRow" fieldPosition="1"/>
    </format>
    <format dxfId="216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215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214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213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212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211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210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209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208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207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206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205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204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203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202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201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200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199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198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197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196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195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194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193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9" type="button" dataOnly="0" labelOnly="1" outline="0" axis="axisRow" fieldPosition="0"/>
    </format>
    <format dxfId="188">
      <pivotArea field="2" type="button" dataOnly="0" labelOnly="1" outline="0" axis="axisRow" fieldPosition="1"/>
    </format>
    <format dxfId="187">
      <pivotArea dataOnly="0" labelOnly="1" fieldPosition="0">
        <references count="1">
          <reference field="9" count="23">
            <x v="0"/>
            <x v="1"/>
            <x v="3"/>
            <x v="4"/>
            <x v="8"/>
            <x v="9"/>
            <x v="11"/>
            <x v="12"/>
            <x v="13"/>
            <x v="14"/>
            <x v="15"/>
            <x v="16"/>
            <x v="18"/>
            <x v="19"/>
            <x v="20"/>
            <x v="21"/>
            <x v="23"/>
            <x v="24"/>
            <x v="25"/>
            <x v="26"/>
            <x v="27"/>
            <x v="30"/>
            <x v="31"/>
          </reference>
        </references>
      </pivotArea>
    </format>
    <format dxfId="186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185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184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183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182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181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180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179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178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177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176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175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174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173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172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171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170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169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168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167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166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165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164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dataOnly="0" labelOnly="1" fieldPosition="0">
        <references count="1">
          <reference field="9" count="0"/>
        </references>
      </pivotArea>
    </format>
    <format dxfId="160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159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158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157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156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155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154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153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152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151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150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149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148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147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146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145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144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143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142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141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140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139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138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137">
      <pivotArea dataOnly="0" labelOnly="1" fieldPosition="0">
        <references count="2">
          <reference field="2" count="1">
            <x v="4"/>
          </reference>
          <reference field="9" count="1" selected="0">
            <x v="32"/>
          </reference>
        </references>
      </pivotArea>
    </format>
    <format dxfId="136">
      <pivotArea dataOnly="0" labelOnly="1" fieldPosition="0">
        <references count="2">
          <reference field="2" count="1">
            <x v="4"/>
          </reference>
          <reference field="9" count="1" selected="0">
            <x v="10"/>
          </reference>
        </references>
      </pivotArea>
    </format>
    <format dxfId="135">
      <pivotArea dataOnly="0" labelOnly="1" fieldPosition="0">
        <references count="2">
          <reference field="2" count="1">
            <x v="4"/>
          </reference>
          <reference field="9" count="1" selected="0">
            <x v="29"/>
          </reference>
        </references>
      </pivotArea>
    </format>
    <format dxfId="134">
      <pivotArea dataOnly="0" labelOnly="1" fieldPosition="0">
        <references count="2">
          <reference field="2" count="1">
            <x v="4"/>
          </reference>
          <reference field="9" count="1" selected="0">
            <x v="6"/>
          </reference>
        </references>
      </pivotArea>
    </format>
    <format dxfId="133">
      <pivotArea dataOnly="0" labelOnly="1" fieldPosition="0">
        <references count="2">
          <reference field="2" count="1">
            <x v="3"/>
          </reference>
          <reference field="9" count="1" selected="0">
            <x v="22"/>
          </reference>
        </references>
      </pivotArea>
    </format>
    <format dxfId="132">
      <pivotArea dataOnly="0" labelOnly="1" fieldPosition="0">
        <references count="2">
          <reference field="2" count="1">
            <x v="2"/>
          </reference>
          <reference field="9" count="1" selected="0">
            <x v="17"/>
          </reference>
        </references>
      </pivotArea>
    </format>
    <format dxfId="131">
      <pivotArea dataOnly="0" labelOnly="1" fieldPosition="0">
        <references count="2">
          <reference field="2" count="1">
            <x v="2"/>
          </reference>
          <reference field="9" count="1" selected="0">
            <x v="7"/>
          </reference>
        </references>
      </pivotArea>
    </format>
    <format dxfId="130">
      <pivotArea dataOnly="0" labelOnly="1" fieldPosition="0">
        <references count="2">
          <reference field="2" count="1">
            <x v="8"/>
          </reference>
          <reference field="9" count="1" selected="0">
            <x v="2"/>
          </reference>
        </references>
      </pivotArea>
    </format>
    <format dxfId="129">
      <pivotArea dataOnly="0" labelOnly="1" fieldPosition="0">
        <references count="2">
          <reference field="2" count="1">
            <x v="8"/>
          </reference>
          <reference field="9" count="1" selected="0">
            <x v="28"/>
          </reference>
        </references>
      </pivotArea>
    </format>
    <format dxfId="128">
      <pivotArea dataOnly="0" labelOnly="1" fieldPosition="0">
        <references count="2">
          <reference field="2" count="1">
            <x v="8"/>
          </reference>
          <reference field="9" count="1" selected="0">
            <x v="5"/>
          </reference>
        </references>
      </pivotArea>
    </format>
    <format dxfId="127">
      <pivotArea dataOnly="0" labelOnly="1" fieldPosition="0">
        <references count="2">
          <reference field="2" count="1">
            <x v="9"/>
          </reference>
          <reference field="9" count="1" selected="0">
            <x v="33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9" type="button" dataOnly="0" labelOnly="1" outline="0" axis="axisRow" fieldPosition="0"/>
    </format>
    <format dxfId="123">
      <pivotArea field="2" type="button" dataOnly="0" labelOnly="1" outline="0" axis="axisRow" fieldPosition="1"/>
    </format>
    <format dxfId="122">
      <pivotArea dataOnly="0" labelOnly="1" fieldPosition="0">
        <references count="1">
          <reference field="9" count="0"/>
        </references>
      </pivotArea>
    </format>
    <format dxfId="121">
      <pivotArea dataOnly="0" labelOnly="1" fieldPosition="0">
        <references count="2">
          <reference field="2" count="1">
            <x v="4"/>
          </reference>
          <reference field="9" count="1" selected="0">
            <x v="25"/>
          </reference>
        </references>
      </pivotArea>
    </format>
    <format dxfId="120">
      <pivotArea dataOnly="0" labelOnly="1" fieldPosition="0">
        <references count="2">
          <reference field="2" count="1">
            <x v="8"/>
          </reference>
          <reference field="9" count="1" selected="0">
            <x v="1"/>
          </reference>
        </references>
      </pivotArea>
    </format>
    <format dxfId="119">
      <pivotArea dataOnly="0" labelOnly="1" fieldPosition="0">
        <references count="2">
          <reference field="2" count="1">
            <x v="3"/>
          </reference>
          <reference field="9" count="1" selected="0">
            <x v="14"/>
          </reference>
        </references>
      </pivotArea>
    </format>
    <format dxfId="118">
      <pivotArea dataOnly="0" labelOnly="1" fieldPosition="0">
        <references count="2">
          <reference field="2" count="1">
            <x v="0"/>
          </reference>
          <reference field="9" count="1" selected="0">
            <x v="23"/>
          </reference>
        </references>
      </pivotArea>
    </format>
    <format dxfId="117">
      <pivotArea dataOnly="0" labelOnly="1" fieldPosition="0">
        <references count="2">
          <reference field="2" count="1">
            <x v="2"/>
          </reference>
          <reference field="9" count="1" selected="0">
            <x v="19"/>
          </reference>
        </references>
      </pivotArea>
    </format>
    <format dxfId="116">
      <pivotArea dataOnly="0" labelOnly="1" fieldPosition="0">
        <references count="2">
          <reference field="2" count="1">
            <x v="1"/>
          </reference>
          <reference field="9" count="1" selected="0">
            <x v="3"/>
          </reference>
        </references>
      </pivotArea>
    </format>
    <format dxfId="115">
      <pivotArea dataOnly="0" labelOnly="1" fieldPosition="0">
        <references count="2">
          <reference field="2" count="1">
            <x v="5"/>
          </reference>
          <reference field="9" count="1" selected="0">
            <x v="24"/>
          </reference>
        </references>
      </pivotArea>
    </format>
    <format dxfId="114">
      <pivotArea dataOnly="0" labelOnly="1" fieldPosition="0">
        <references count="2">
          <reference field="2" count="1">
            <x v="7"/>
          </reference>
          <reference field="9" count="1" selected="0">
            <x v="8"/>
          </reference>
        </references>
      </pivotArea>
    </format>
    <format dxfId="113">
      <pivotArea dataOnly="0" labelOnly="1" fieldPosition="0">
        <references count="2">
          <reference field="2" count="1">
            <x v="7"/>
          </reference>
          <reference field="9" count="1" selected="0">
            <x v="9"/>
          </reference>
        </references>
      </pivotArea>
    </format>
    <format dxfId="112">
      <pivotArea dataOnly="0" labelOnly="1" fieldPosition="0">
        <references count="2">
          <reference field="2" count="1">
            <x v="8"/>
          </reference>
          <reference field="9" count="1" selected="0">
            <x v="21"/>
          </reference>
        </references>
      </pivotArea>
    </format>
    <format dxfId="111">
      <pivotArea dataOnly="0" labelOnly="1" fieldPosition="0">
        <references count="2">
          <reference field="2" count="1">
            <x v="8"/>
          </reference>
          <reference field="9" count="1" selected="0">
            <x v="4"/>
          </reference>
        </references>
      </pivotArea>
    </format>
    <format dxfId="110">
      <pivotArea dataOnly="0" labelOnly="1" fieldPosition="0">
        <references count="2">
          <reference field="2" count="1">
            <x v="3"/>
          </reference>
          <reference field="9" count="1" selected="0">
            <x v="13"/>
          </reference>
        </references>
      </pivotArea>
    </format>
    <format dxfId="109">
      <pivotArea dataOnly="0" labelOnly="1" fieldPosition="0">
        <references count="2">
          <reference field="2" count="1">
            <x v="5"/>
          </reference>
          <reference field="9" count="1" selected="0">
            <x v="27"/>
          </reference>
        </references>
      </pivotArea>
    </format>
    <format dxfId="108">
      <pivotArea dataOnly="0" labelOnly="1" fieldPosition="0">
        <references count="2">
          <reference field="2" count="1">
            <x v="5"/>
          </reference>
          <reference field="9" count="1" selected="0">
            <x v="18"/>
          </reference>
        </references>
      </pivotArea>
    </format>
    <format dxfId="107">
      <pivotArea dataOnly="0" labelOnly="1" fieldPosition="0">
        <references count="2">
          <reference field="2" count="1">
            <x v="5"/>
          </reference>
          <reference field="9" count="1" selected="0">
            <x v="12"/>
          </reference>
        </references>
      </pivotArea>
    </format>
    <format dxfId="106">
      <pivotArea dataOnly="0" labelOnly="1" fieldPosition="0">
        <references count="2">
          <reference field="2" count="1">
            <x v="5"/>
          </reference>
          <reference field="9" count="1" selected="0">
            <x v="15"/>
          </reference>
        </references>
      </pivotArea>
    </format>
    <format dxfId="105">
      <pivotArea dataOnly="0" labelOnly="1" fieldPosition="0">
        <references count="2">
          <reference field="2" count="1">
            <x v="5"/>
          </reference>
          <reference field="9" count="1" selected="0">
            <x v="16"/>
          </reference>
        </references>
      </pivotArea>
    </format>
    <format dxfId="104">
      <pivotArea dataOnly="0" labelOnly="1" fieldPosition="0">
        <references count="2">
          <reference field="2" count="1">
            <x v="6"/>
          </reference>
          <reference field="9" count="1" selected="0">
            <x v="0"/>
          </reference>
        </references>
      </pivotArea>
    </format>
    <format dxfId="103">
      <pivotArea dataOnly="0" labelOnly="1" fieldPosition="0">
        <references count="2">
          <reference field="2" count="1">
            <x v="6"/>
          </reference>
          <reference field="9" count="1" selected="0">
            <x v="31"/>
          </reference>
        </references>
      </pivotArea>
    </format>
    <format dxfId="102">
      <pivotArea dataOnly="0" labelOnly="1" fieldPosition="0">
        <references count="2">
          <reference field="2" count="1">
            <x v="6"/>
          </reference>
          <reference field="9" count="1" selected="0">
            <x v="30"/>
          </reference>
        </references>
      </pivotArea>
    </format>
    <format dxfId="101">
      <pivotArea dataOnly="0" labelOnly="1" fieldPosition="0">
        <references count="2">
          <reference field="2" count="1">
            <x v="6"/>
          </reference>
          <reference field="9" count="1" selected="0">
            <x v="11"/>
          </reference>
        </references>
      </pivotArea>
    </format>
    <format dxfId="100">
      <pivotArea dataOnly="0" labelOnly="1" fieldPosition="0">
        <references count="2">
          <reference field="2" count="1">
            <x v="6"/>
          </reference>
          <reference field="9" count="1" selected="0">
            <x v="26"/>
          </reference>
        </references>
      </pivotArea>
    </format>
    <format dxfId="99">
      <pivotArea dataOnly="0" labelOnly="1" fieldPosition="0">
        <references count="2">
          <reference field="2" count="1">
            <x v="6"/>
          </reference>
          <reference field="9" count="1" selected="0">
            <x v="20"/>
          </reference>
        </references>
      </pivotArea>
    </format>
    <format dxfId="98">
      <pivotArea dataOnly="0" labelOnly="1" fieldPosition="0">
        <references count="2">
          <reference field="2" count="1">
            <x v="4"/>
          </reference>
          <reference field="9" count="1" selected="0">
            <x v="32"/>
          </reference>
        </references>
      </pivotArea>
    </format>
    <format dxfId="97">
      <pivotArea dataOnly="0" labelOnly="1" fieldPosition="0">
        <references count="2">
          <reference field="2" count="1">
            <x v="4"/>
          </reference>
          <reference field="9" count="1" selected="0">
            <x v="10"/>
          </reference>
        </references>
      </pivotArea>
    </format>
    <format dxfId="96">
      <pivotArea dataOnly="0" labelOnly="1" fieldPosition="0">
        <references count="2">
          <reference field="2" count="1">
            <x v="4"/>
          </reference>
          <reference field="9" count="1" selected="0">
            <x v="29"/>
          </reference>
        </references>
      </pivotArea>
    </format>
    <format dxfId="95">
      <pivotArea dataOnly="0" labelOnly="1" fieldPosition="0">
        <references count="2">
          <reference field="2" count="1">
            <x v="4"/>
          </reference>
          <reference field="9" count="1" selected="0">
            <x v="6"/>
          </reference>
        </references>
      </pivotArea>
    </format>
    <format dxfId="94">
      <pivotArea dataOnly="0" labelOnly="1" fieldPosition="0">
        <references count="2">
          <reference field="2" count="1">
            <x v="3"/>
          </reference>
          <reference field="9" count="1" selected="0">
            <x v="22"/>
          </reference>
        </references>
      </pivotArea>
    </format>
    <format dxfId="93">
      <pivotArea dataOnly="0" labelOnly="1" fieldPosition="0">
        <references count="2">
          <reference field="2" count="1">
            <x v="2"/>
          </reference>
          <reference field="9" count="1" selected="0">
            <x v="17"/>
          </reference>
        </references>
      </pivotArea>
    </format>
    <format dxfId="92">
      <pivotArea dataOnly="0" labelOnly="1" fieldPosition="0">
        <references count="2">
          <reference field="2" count="1">
            <x v="2"/>
          </reference>
          <reference field="9" count="1" selected="0">
            <x v="7"/>
          </reference>
        </references>
      </pivotArea>
    </format>
    <format dxfId="91">
      <pivotArea dataOnly="0" labelOnly="1" fieldPosition="0">
        <references count="2">
          <reference field="2" count="1">
            <x v="8"/>
          </reference>
          <reference field="9" count="1" selected="0">
            <x v="2"/>
          </reference>
        </references>
      </pivotArea>
    </format>
    <format dxfId="90">
      <pivotArea dataOnly="0" labelOnly="1" fieldPosition="0">
        <references count="2">
          <reference field="2" count="1">
            <x v="8"/>
          </reference>
          <reference field="9" count="1" selected="0">
            <x v="28"/>
          </reference>
        </references>
      </pivotArea>
    </format>
    <format dxfId="89">
      <pivotArea dataOnly="0" labelOnly="1" fieldPosition="0">
        <references count="2">
          <reference field="2" count="1">
            <x v="8"/>
          </reference>
          <reference field="9" count="1" selected="0">
            <x v="5"/>
          </reference>
        </references>
      </pivotArea>
    </format>
    <format dxfId="88">
      <pivotArea dataOnly="0" labelOnly="1" fieldPosition="0">
        <references count="2">
          <reference field="2" count="1">
            <x v="9"/>
          </reference>
          <reference field="9" count="1" selected="0">
            <x v="33"/>
          </reference>
        </references>
      </pivotArea>
    </format>
    <format dxfId="87">
      <pivotArea dataOnly="0" labelOnly="1" outline="0" axis="axisValues" fieldPosition="0"/>
    </format>
    <format dxfId="86">
      <pivotArea field="9" type="button" dataOnly="0" labelOnly="1" outline="0" axis="axisRow" fieldPosition="0"/>
    </format>
    <format dxfId="85">
      <pivotArea field="2" type="button" dataOnly="0" labelOnly="1" outline="0" axis="axisRow" fieldPosition="1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677BE-90C2-4EC0-95C4-F19586A17685}" name="积分榜" cacheId="0" applyNumberFormats="0" applyBorderFormats="0" applyFontFormats="0" applyPatternFormats="0" applyAlignmentFormats="0" applyWidthHeightFormats="1" dataCaption="值" showMissing="0" updatedVersion="7" minRefreshableVersion="3" showDrill="0" useAutoFormatting="1" rowGrandTotals="0" colGrandTotals="0" itemPrintTitles="1" createdVersion="7" indent="0" outline="1" outlineData="1" multipleFieldFilters="0" rowHeaderCaption="科室" customListSort="0">
  <location ref="A1:B15" firstHeaderRow="1" firstDataRow="1" firstDataCol="1"/>
  <pivotFields count="15">
    <pivotField showAll="0"/>
    <pivotField showAll="0"/>
    <pivotField axis="axisRow" showAll="0" sortType="descending">
      <items count="20">
        <item x="13"/>
        <item x="6"/>
        <item m="1" x="15"/>
        <item x="2"/>
        <item x="0"/>
        <item x="5"/>
        <item m="1" x="14"/>
        <item x="1"/>
        <item m="1" x="16"/>
        <item m="1" x="18"/>
        <item x="9"/>
        <item x="7"/>
        <item m="1" x="17"/>
        <item x="3"/>
        <item x="4"/>
        <item x="10"/>
        <item x="8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ame="姓名" outline="0" showAll="0" sortType="descending" defaultSubtotal="0">
      <items count="108">
        <item x="13"/>
        <item x="30"/>
        <item x="25"/>
        <item x="32"/>
        <item x="26"/>
        <item x="29"/>
        <item x="23"/>
        <item x="6"/>
        <item x="14"/>
        <item x="15"/>
        <item x="22"/>
        <item x="8"/>
        <item x="1"/>
        <item x="17"/>
        <item x="18"/>
        <item x="2"/>
        <item x="4"/>
        <item x="7"/>
        <item x="0"/>
        <item x="5"/>
        <item x="12"/>
        <item x="27"/>
        <item x="19"/>
        <item x="31"/>
        <item x="16"/>
        <item x="21"/>
        <item x="9"/>
        <item x="3"/>
        <item x="28"/>
        <item x="20"/>
        <item x="10"/>
        <item x="11"/>
        <item x="24"/>
        <item x="107"/>
        <item x="33"/>
        <item x="34"/>
        <item x="72"/>
        <item x="36"/>
        <item x="37"/>
        <item x="38"/>
        <item x="39"/>
        <item x="40"/>
        <item x="54"/>
        <item x="35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5"/>
        <item x="56"/>
        <item x="57"/>
        <item x="58"/>
        <item x="53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4">
    <i>
      <x v="4"/>
    </i>
    <i>
      <x v="7"/>
    </i>
    <i>
      <x v="5"/>
    </i>
    <i>
      <x v="11"/>
    </i>
    <i>
      <x v="13"/>
    </i>
    <i>
      <x v="1"/>
    </i>
    <i>
      <x v="10"/>
    </i>
    <i>
      <x v="14"/>
    </i>
    <i>
      <x v="17"/>
    </i>
    <i>
      <x v="3"/>
    </i>
    <i>
      <x v="16"/>
    </i>
    <i>
      <x v="18"/>
    </i>
    <i>
      <x v="15"/>
    </i>
    <i>
      <x/>
    </i>
  </rowItems>
  <colItems count="1">
    <i/>
  </colItems>
  <dataFields count="1">
    <dataField name="总积分" fld="14" baseField="9" baseItem="25" numFmtId="176"/>
  </dataFields>
  <formats count="84"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9" type="button" dataOnly="0" labelOnly="1" outline="0"/>
    </format>
    <format dxfId="78">
      <pivotArea field="2" type="button" dataOnly="0" labelOnly="1" outline="0" axis="axisRow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field="9" type="button" dataOnly="0" labelOnly="1" outline="0"/>
    </format>
    <format dxfId="72">
      <pivotArea field="2" type="button" dataOnly="0" labelOnly="1" outline="0" axis="axisRow" fieldPosition="0"/>
    </format>
    <format dxfId="71">
      <pivotArea field="9" type="button" dataOnly="0" labelOnly="1" outline="0"/>
    </format>
    <format dxfId="70">
      <pivotArea field="2" type="button" dataOnly="0" labelOnly="1" outline="0" axis="axisRow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9" type="button" dataOnly="0" labelOnly="1" outline="0"/>
    </format>
    <format dxfId="65">
      <pivotArea field="2" type="button" dataOnly="0" labelOnly="1" outline="0" axis="axisRow" fieldPosition="0"/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9" type="button" dataOnly="0" labelOnly="1" outline="0"/>
    </format>
    <format dxfId="60">
      <pivotArea field="2" type="button" dataOnly="0" labelOnly="1" outline="0" axis="axisRow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9" type="button" dataOnly="0" labelOnly="1" outline="0"/>
    </format>
    <format dxfId="55">
      <pivotArea field="2" type="button" dataOnly="0" labelOnly="1" outline="0" axis="axisRow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9" type="button" dataOnly="0" labelOnly="1" outline="0"/>
    </format>
    <format dxfId="50">
      <pivotArea field="2" type="button" dataOnly="0" labelOnly="1" outline="0" axis="axisRow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9" type="button" dataOnly="0" labelOnly="1" outline="0"/>
    </format>
    <format dxfId="45">
      <pivotArea field="2" type="button" dataOnly="0" labelOnly="1" outline="0" axis="axisRow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9" type="button" dataOnly="0" labelOnly="1" outline="0"/>
    </format>
    <format dxfId="40">
      <pivotArea field="2" type="button" dataOnly="0" labelOnly="1" outline="0" axis="axisRow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9" type="button" dataOnly="0" labelOnly="1" outline="0"/>
    </format>
    <format dxfId="35">
      <pivotArea field="2" type="button" dataOnly="0" labelOnly="1" outline="0" axis="axisRow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9" type="button" dataOnly="0" labelOnly="1" outline="0"/>
    </format>
    <format dxfId="30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9" type="button" dataOnly="0" labelOnly="1" outline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/>
    </format>
    <format dxfId="20">
      <pivotArea field="2" type="button" dataOnly="0" labelOnly="1" outline="0" axis="axisRow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9" type="button" dataOnly="0" labelOnly="1" outline="0"/>
    </format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9" type="button" dataOnly="0" labelOnly="1" outline="0"/>
    </format>
    <format dxfId="10">
      <pivotArea field="2" type="button" dataOnly="0" labelOnly="1" outline="0" axis="axisRow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9" type="button" dataOnly="0" labelOnly="1" outline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9" type="button" dataOnly="0" labelOnly="1" outline="0"/>
    </format>
    <format dxfId="1">
      <pivotArea field="2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7AA75C-0136-4094-8221-4E16A310C153}" name="表3" displayName="表3" ref="A1:P1048573" totalsRowShown="0" headerRowDxfId="591" dataDxfId="590">
  <autoFilter ref="A1:P1048573" xr:uid="{607AA75C-0136-4094-8221-4E16A310C153}"/>
  <tableColumns count="16">
    <tableColumn id="1" xr3:uid="{8F12C608-A2FD-45E3-91E1-60AFFB64E742}" name="序号" dataDxfId="589"/>
    <tableColumn id="2" xr3:uid="{0A9E7447-BABE-43FC-8B74-F70CCF7C23CA}" name="时间" dataDxfId="588"/>
    <tableColumn id="3" xr3:uid="{B6A6E9CD-8663-43B2-960D-D4DC5357F6AD}" name="科室" dataDxfId="587"/>
    <tableColumn id="4" xr3:uid="{5D680E55-6627-4211-BB83-3151BD7A3061}" name="获奖途径" dataDxfId="586"/>
    <tableColumn id="5" xr3:uid="{8AF3F788-E9E2-4F08-A97B-2D350F5713F4}" name="所获奖项分类" dataDxfId="585"/>
    <tableColumn id="6" xr3:uid="{3BA44D63-8DB1-454C-8754-D7963E2AA14E}" name="所获奖项级别" dataDxfId="584"/>
    <tableColumn id="7" xr3:uid="{94EEF9A2-EF53-4B1C-8C9F-A0411076B800}" name="奖项名称" dataDxfId="583"/>
    <tableColumn id="8" xr3:uid="{FDD0125D-0FC0-4355-BAFA-2E00EA23DCA9}" name="符合“首次”奖励" dataDxfId="582"/>
    <tableColumn id="9" xr3:uid="{68CBDC71-5829-4365-B6A6-5E421CDFAC07}" name="同课题总积分" dataDxfId="581"/>
    <tableColumn id="10" xr3:uid="{167D3D2F-2D33-45BC-87EB-8166772BB5C8}" name="获奖人姓名" dataDxfId="580"/>
    <tableColumn id="11" xr3:uid="{CCC2732C-B839-4003-A3B3-6B4BD0A496FC}" name="获奖人工号" dataDxfId="579"/>
    <tableColumn id="12" xr3:uid="{E41DD338-E5DA-4CC4-A932-500752FAB98A}" name="备注" dataDxfId="578"/>
    <tableColumn id="13" xr3:uid="{199B83CE-D321-477B-933F-C29C95AB3321}" name="占比计算" dataDxfId="577"/>
    <tableColumn id="14" xr3:uid="{6386AFA9-D8D1-4397-B114-174C8E3CAA28}" name="总额" dataDxfId="576"/>
    <tableColumn id="15" xr3:uid="{0740976C-6946-4808-956C-D8AACF60F124}" name="终值" dataDxfId="575"/>
    <tableColumn id="16" xr3:uid="{287012F7-EF61-44EB-92B3-87E567169C03}" name="列1" dataDxfId="5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8"/>
  <sheetViews>
    <sheetView tabSelected="1" zoomScale="115" zoomScaleNormal="115" workbookViewId="0">
      <selection activeCell="I12" sqref="I12"/>
    </sheetView>
  </sheetViews>
  <sheetFormatPr defaultColWidth="9" defaultRowHeight="12.75" x14ac:dyDescent="0.3"/>
  <cols>
    <col min="1" max="1" width="4.625" style="7" customWidth="1"/>
    <col min="2" max="2" width="8.625" style="8" bestFit="1" customWidth="1"/>
    <col min="3" max="3" width="7.125" style="7" bestFit="1" customWidth="1"/>
    <col min="4" max="4" width="10.75" style="7" customWidth="1"/>
    <col min="5" max="5" width="13.625" style="7" customWidth="1"/>
    <col min="6" max="6" width="8.25" style="7" customWidth="1"/>
    <col min="7" max="7" width="20.625" style="7" customWidth="1"/>
    <col min="8" max="8" width="11.25" style="7" customWidth="1"/>
    <col min="9" max="9" width="8.125" style="7" customWidth="1"/>
    <col min="10" max="11" width="7.125" style="7" bestFit="1" customWidth="1"/>
    <col min="12" max="12" width="33" style="7" bestFit="1" customWidth="1"/>
    <col min="13" max="14" width="9" style="7"/>
    <col min="15" max="15" width="9" style="11"/>
    <col min="16" max="16" width="16.5" style="7" bestFit="1" customWidth="1"/>
    <col min="17" max="17" width="6.625" style="7" bestFit="1" customWidth="1"/>
    <col min="18" max="16384" width="9" style="7"/>
  </cols>
  <sheetData>
    <row r="1" spans="1:28" x14ac:dyDescent="0.3">
      <c r="A1" s="7" t="s">
        <v>9</v>
      </c>
      <c r="B1" s="8" t="s">
        <v>10</v>
      </c>
      <c r="C1" s="7" t="s">
        <v>11</v>
      </c>
      <c r="D1" s="7" t="s">
        <v>22</v>
      </c>
      <c r="E1" s="7" t="s">
        <v>32</v>
      </c>
      <c r="F1" s="7" t="s">
        <v>33</v>
      </c>
      <c r="G1" s="7" t="s">
        <v>28</v>
      </c>
      <c r="H1" s="7" t="s">
        <v>96</v>
      </c>
      <c r="I1" s="7" t="s">
        <v>101</v>
      </c>
      <c r="J1" s="7" t="s">
        <v>49</v>
      </c>
      <c r="K1" s="7" t="s">
        <v>50</v>
      </c>
      <c r="L1" s="7" t="s">
        <v>94</v>
      </c>
      <c r="M1" s="7" t="s">
        <v>97</v>
      </c>
      <c r="N1" s="7" t="s">
        <v>98</v>
      </c>
      <c r="O1" s="11" t="s">
        <v>99</v>
      </c>
      <c r="P1" s="7" t="s">
        <v>116</v>
      </c>
      <c r="AA1" s="7" t="s">
        <v>0</v>
      </c>
      <c r="AB1" s="7" t="s">
        <v>23</v>
      </c>
    </row>
    <row r="2" spans="1:28" x14ac:dyDescent="0.3">
      <c r="A2" s="7">
        <v>1</v>
      </c>
      <c r="B2" s="8">
        <v>45741</v>
      </c>
      <c r="C2" s="7" t="s">
        <v>55</v>
      </c>
      <c r="D2" s="7" t="s">
        <v>53</v>
      </c>
      <c r="E2" s="7" t="s">
        <v>54</v>
      </c>
      <c r="F2" s="7" t="s">
        <v>17</v>
      </c>
      <c r="H2" s="7" t="s">
        <v>48</v>
      </c>
      <c r="I2" s="7" cm="1">
        <f t="array" ref="I2">IF(OR(D2="", E2="", F2=""), "",
   INDEX(积分标准!$D$2:$D$100, MATCH(1,
       (积分标准!$A$2:$A$100=D2) *
       (积分标准!$B$2:$B$100=E2) *
       (积分标准!$C$2:$C$100=F2), 0)) +
   IF(H2="是", 0.5, 0))</f>
        <v>2.5</v>
      </c>
      <c r="J2" s="7" t="s">
        <v>65</v>
      </c>
      <c r="K2" s="22">
        <v>8699083</v>
      </c>
      <c r="M2" s="7">
        <v>280</v>
      </c>
      <c r="N2" s="7">
        <v>2000</v>
      </c>
      <c r="O2" s="11">
        <f>M2/N2*I2</f>
        <v>0.35000000000000003</v>
      </c>
      <c r="AA2" s="7" t="s">
        <v>213</v>
      </c>
    </row>
    <row r="3" spans="1:28" x14ac:dyDescent="0.3">
      <c r="A3" s="7">
        <v>2</v>
      </c>
      <c r="B3" s="8">
        <v>45741</v>
      </c>
      <c r="C3" s="7" t="s">
        <v>55</v>
      </c>
      <c r="D3" s="7" t="s">
        <v>53</v>
      </c>
      <c r="E3" s="7" t="s">
        <v>54</v>
      </c>
      <c r="F3" s="7" t="s">
        <v>17</v>
      </c>
      <c r="H3" s="7" t="s">
        <v>48</v>
      </c>
      <c r="I3" s="7" cm="1">
        <f t="array" ref="I3">IF(OR(D3="", E3="", F3=""), "",
   INDEX(积分标准!$D$2:$D$100, MATCH(1,
       (积分标准!$A$2:$A$100=D3) *
       (积分标准!$B$2:$B$100=E3) *
       (积分标准!$C$2:$C$100=F3), 0)) +
   IF(H3="是", 0.5, 0))</f>
        <v>2.5</v>
      </c>
      <c r="J3" s="7" t="s">
        <v>66</v>
      </c>
      <c r="K3" s="22">
        <v>8676014</v>
      </c>
      <c r="M3" s="7">
        <v>280</v>
      </c>
      <c r="N3" s="7">
        <v>2000</v>
      </c>
      <c r="O3" s="11">
        <f t="shared" ref="O3:O40" si="0">M3/N3*I3</f>
        <v>0.35000000000000003</v>
      </c>
      <c r="AA3" s="7" t="s">
        <v>215</v>
      </c>
    </row>
    <row r="4" spans="1:28" x14ac:dyDescent="0.3">
      <c r="A4" s="7">
        <v>3</v>
      </c>
      <c r="B4" s="8">
        <v>45741</v>
      </c>
      <c r="C4" s="7" t="s">
        <v>55</v>
      </c>
      <c r="D4" s="7" t="s">
        <v>53</v>
      </c>
      <c r="E4" s="7" t="s">
        <v>54</v>
      </c>
      <c r="F4" s="7" t="s">
        <v>17</v>
      </c>
      <c r="H4" s="7" t="s">
        <v>48</v>
      </c>
      <c r="I4" s="7" cm="1">
        <f t="array" ref="I4">IF(OR(D4="", E4="", F4=""), "",
   INDEX(积分标准!$D$2:$D$100, MATCH(1,
       (积分标准!$A$2:$A$100=D4) *
       (积分标准!$B$2:$B$100=E4) *
       (积分标准!$C$2:$C$100=F4), 0)) +
   IF(H4="是", 0.5, 0))</f>
        <v>2.5</v>
      </c>
      <c r="J4" s="7" t="s">
        <v>67</v>
      </c>
      <c r="K4" s="22">
        <v>8673997</v>
      </c>
      <c r="M4" s="7">
        <v>280</v>
      </c>
      <c r="N4" s="7">
        <v>2000</v>
      </c>
      <c r="O4" s="11">
        <f t="shared" si="0"/>
        <v>0.35000000000000003</v>
      </c>
      <c r="AA4" s="7" t="s">
        <v>1</v>
      </c>
    </row>
    <row r="5" spans="1:28" x14ac:dyDescent="0.3">
      <c r="A5" s="7">
        <v>4</v>
      </c>
      <c r="B5" s="8">
        <v>45741</v>
      </c>
      <c r="C5" s="7" t="s">
        <v>55</v>
      </c>
      <c r="D5" s="7" t="s">
        <v>53</v>
      </c>
      <c r="E5" s="7" t="s">
        <v>54</v>
      </c>
      <c r="F5" s="7" t="s">
        <v>17</v>
      </c>
      <c r="H5" s="7" t="s">
        <v>48</v>
      </c>
      <c r="I5" s="7" cm="1">
        <f t="array" ref="I5">IF(OR(D5="", E5="", F5=""), "",
   INDEX(积分标准!$D$2:$D$100, MATCH(1,
       (积分标准!$A$2:$A$100=D5) *
       (积分标准!$B$2:$B$100=E5) *
       (积分标准!$C$2:$C$100=F5), 0)) +
   IF(H5="是", 0.5, 0))</f>
        <v>2.5</v>
      </c>
      <c r="J5" s="7" t="s">
        <v>68</v>
      </c>
      <c r="K5" s="22">
        <v>8680311</v>
      </c>
      <c r="M5" s="7">
        <v>280</v>
      </c>
      <c r="N5" s="7">
        <v>2000</v>
      </c>
      <c r="O5" s="11">
        <f t="shared" si="0"/>
        <v>0.35000000000000003</v>
      </c>
      <c r="AA5" s="7" t="s">
        <v>2</v>
      </c>
    </row>
    <row r="6" spans="1:28" x14ac:dyDescent="0.3">
      <c r="A6" s="7">
        <v>5</v>
      </c>
      <c r="B6" s="8">
        <v>45741</v>
      </c>
      <c r="C6" s="7" t="s">
        <v>55</v>
      </c>
      <c r="D6" s="7" t="s">
        <v>53</v>
      </c>
      <c r="E6" s="7" t="s">
        <v>54</v>
      </c>
      <c r="F6" s="7" t="s">
        <v>17</v>
      </c>
      <c r="H6" s="7" t="s">
        <v>48</v>
      </c>
      <c r="I6" s="7" cm="1">
        <f t="array" ref="I6">IF(OR(D6="", E6="", F6=""), "",
   INDEX(积分标准!$D$2:$D$100, MATCH(1,
       (积分标准!$A$2:$A$100=D6) *
       (积分标准!$B$2:$B$100=E6) *
       (积分标准!$C$2:$C$100=F6), 0)) +
   IF(H6="是", 0.5, 0))</f>
        <v>2.5</v>
      </c>
      <c r="J6" s="7" t="s">
        <v>69</v>
      </c>
      <c r="K6" s="22">
        <v>8681583</v>
      </c>
      <c r="M6" s="7">
        <v>280</v>
      </c>
      <c r="N6" s="7">
        <v>2000</v>
      </c>
      <c r="O6" s="11">
        <f t="shared" si="0"/>
        <v>0.35000000000000003</v>
      </c>
      <c r="AA6" s="7" t="s">
        <v>3</v>
      </c>
    </row>
    <row r="7" spans="1:28" x14ac:dyDescent="0.3">
      <c r="A7" s="7">
        <v>6</v>
      </c>
      <c r="B7" s="8">
        <v>45741</v>
      </c>
      <c r="C7" s="7" t="s">
        <v>88</v>
      </c>
      <c r="D7" s="7" t="s">
        <v>53</v>
      </c>
      <c r="E7" s="7" t="s">
        <v>54</v>
      </c>
      <c r="F7" s="7" t="s">
        <v>17</v>
      </c>
      <c r="H7" s="7" t="s">
        <v>48</v>
      </c>
      <c r="I7" s="7" cm="1">
        <f t="array" ref="I7">IF(OR(D7="", E7="", F7=""), "",
   INDEX(积分标准!$D$2:$D$100, MATCH(1,
       (积分标准!$A$2:$A$100=D7) *
       (积分标准!$B$2:$B$100=E7) *
       (积分标准!$C$2:$C$100=F7), 0)) +
   IF(H7="是", 0.5, 0))</f>
        <v>2.5</v>
      </c>
      <c r="J7" s="7" t="s">
        <v>70</v>
      </c>
      <c r="K7" s="7">
        <v>8680291</v>
      </c>
      <c r="M7" s="7">
        <v>200</v>
      </c>
      <c r="N7" s="7">
        <v>2000</v>
      </c>
      <c r="O7" s="11">
        <f t="shared" si="0"/>
        <v>0.25</v>
      </c>
      <c r="AA7" s="7" t="s">
        <v>4</v>
      </c>
    </row>
    <row r="8" spans="1:28" x14ac:dyDescent="0.3">
      <c r="A8" s="7">
        <v>7</v>
      </c>
      <c r="B8" s="8">
        <v>45741</v>
      </c>
      <c r="C8" s="7" t="s">
        <v>88</v>
      </c>
      <c r="D8" s="7" t="s">
        <v>53</v>
      </c>
      <c r="E8" s="7" t="s">
        <v>54</v>
      </c>
      <c r="F8" s="7" t="s">
        <v>17</v>
      </c>
      <c r="H8" s="7" t="s">
        <v>48</v>
      </c>
      <c r="I8" s="7" cm="1">
        <f t="array" ref="I8">IF(OR(D8="", E8="", F8=""), "",
   INDEX(积分标准!$D$2:$D$100, MATCH(1,
       (积分标准!$A$2:$A$100=D8) *
       (积分标准!$B$2:$B$100=E8) *
       (积分标准!$C$2:$C$100=F8), 0)) +
   IF(H8="是", 0.5, 0))</f>
        <v>2.5</v>
      </c>
      <c r="J8" s="7" t="s">
        <v>71</v>
      </c>
      <c r="K8" s="7">
        <v>8682097</v>
      </c>
      <c r="M8" s="7">
        <v>200</v>
      </c>
      <c r="N8" s="7">
        <v>2000</v>
      </c>
      <c r="O8" s="11">
        <f t="shared" si="0"/>
        <v>0.25</v>
      </c>
      <c r="AA8" s="7" t="s">
        <v>5</v>
      </c>
    </row>
    <row r="9" spans="1:28" x14ac:dyDescent="0.3">
      <c r="A9" s="7">
        <v>8</v>
      </c>
      <c r="B9" s="8">
        <v>45741</v>
      </c>
      <c r="C9" s="7" t="s">
        <v>88</v>
      </c>
      <c r="D9" s="7" t="s">
        <v>53</v>
      </c>
      <c r="E9" s="7" t="s">
        <v>54</v>
      </c>
      <c r="F9" s="7" t="s">
        <v>17</v>
      </c>
      <c r="H9" s="7" t="s">
        <v>48</v>
      </c>
      <c r="I9" s="7" cm="1">
        <f t="array" ref="I9">IF(OR(D9="", E9="", F9=""), "",
   INDEX(积分标准!$D$2:$D$100, MATCH(1,
       (积分标准!$A$2:$A$100=D9) *
       (积分标准!$B$2:$B$100=E9) *
       (积分标准!$C$2:$C$100=F9), 0)) +
   IF(H9="是", 0.5, 0))</f>
        <v>2.5</v>
      </c>
      <c r="J9" s="7" t="s">
        <v>72</v>
      </c>
      <c r="K9" s="7">
        <v>8698876</v>
      </c>
      <c r="M9" s="7">
        <v>200</v>
      </c>
      <c r="N9" s="7">
        <v>2000</v>
      </c>
      <c r="O9" s="11">
        <f t="shared" si="0"/>
        <v>0.25</v>
      </c>
      <c r="AA9" s="7" t="s">
        <v>217</v>
      </c>
    </row>
    <row r="10" spans="1:28" x14ac:dyDescent="0.3">
      <c r="A10" s="7">
        <v>9</v>
      </c>
      <c r="B10" s="8">
        <v>45741</v>
      </c>
      <c r="C10" s="7" t="s">
        <v>86</v>
      </c>
      <c r="D10" s="7" t="s">
        <v>53</v>
      </c>
      <c r="E10" s="7" t="s">
        <v>54</v>
      </c>
      <c r="F10" s="7" t="s">
        <v>18</v>
      </c>
      <c r="H10" s="7" t="s">
        <v>48</v>
      </c>
      <c r="I10" s="7" cm="1">
        <f t="array" ref="I10">IF(OR(D10="", E10="", F10=""), "",
   INDEX(积分标准!$D$2:$D$100, MATCH(1,
       (积分标准!$A$2:$A$100=D10) *
       (积分标准!$B$2:$B$100=E10) *
       (积分标准!$C$2:$C$100=F10), 0)) +
   IF(H10="是", 0.5, 0))</f>
        <v>2</v>
      </c>
      <c r="J10" s="7" t="s">
        <v>56</v>
      </c>
      <c r="K10" s="7">
        <v>8683980</v>
      </c>
      <c r="M10" s="7">
        <v>250</v>
      </c>
      <c r="N10" s="7">
        <v>1500</v>
      </c>
      <c r="O10" s="11">
        <f t="shared" si="0"/>
        <v>0.33333333333333331</v>
      </c>
      <c r="AA10" s="7" t="s">
        <v>7</v>
      </c>
    </row>
    <row r="11" spans="1:28" x14ac:dyDescent="0.3">
      <c r="A11" s="7">
        <v>10</v>
      </c>
      <c r="B11" s="8">
        <v>45741</v>
      </c>
      <c r="C11" s="7" t="s">
        <v>86</v>
      </c>
      <c r="D11" s="7" t="s">
        <v>53</v>
      </c>
      <c r="E11" s="7" t="s">
        <v>54</v>
      </c>
      <c r="F11" s="7" t="s">
        <v>18</v>
      </c>
      <c r="H11" s="7" t="s">
        <v>48</v>
      </c>
      <c r="I11" s="7" cm="1">
        <f t="array" ref="I11">IF(OR(D11="", E11="", F11=""), "",
   INDEX(积分标准!$D$2:$D$100, MATCH(1,
       (积分标准!$A$2:$A$100=D11) *
       (积分标准!$B$2:$B$100=E11) *
       (积分标准!$C$2:$C$100=F11), 0)) +
   IF(H11="是", 0.5, 0))</f>
        <v>2</v>
      </c>
      <c r="J11" s="7" t="s">
        <v>57</v>
      </c>
      <c r="K11" s="7">
        <v>8683979</v>
      </c>
      <c r="M11" s="7">
        <v>250</v>
      </c>
      <c r="N11" s="7">
        <v>1500</v>
      </c>
      <c r="O11" s="11">
        <f t="shared" si="0"/>
        <v>0.33333333333333331</v>
      </c>
      <c r="AA11" s="7" t="s">
        <v>219</v>
      </c>
    </row>
    <row r="12" spans="1:28" x14ac:dyDescent="0.3">
      <c r="A12" s="7">
        <v>11</v>
      </c>
      <c r="B12" s="8">
        <v>45741</v>
      </c>
      <c r="C12" s="7" t="s">
        <v>86</v>
      </c>
      <c r="D12" s="7" t="s">
        <v>53</v>
      </c>
      <c r="E12" s="7" t="s">
        <v>54</v>
      </c>
      <c r="F12" s="7" t="s">
        <v>18</v>
      </c>
      <c r="H12" s="7" t="s">
        <v>48</v>
      </c>
      <c r="I12" s="7" cm="1">
        <f t="array" ref="I12">IF(OR(D12="", E12="", F12=""), "",
   INDEX(积分标准!$D$2:$D$100, MATCH(1,
       (积分标准!$A$2:$A$100=D12) *
       (积分标准!$B$2:$B$100=E12) *
       (积分标准!$C$2:$C$100=F12), 0)) +
   IF(H12="是", 0.5, 0))</f>
        <v>2</v>
      </c>
      <c r="J12" s="7" t="s">
        <v>58</v>
      </c>
      <c r="K12" s="7">
        <v>8612473</v>
      </c>
      <c r="M12" s="7">
        <v>250</v>
      </c>
      <c r="N12" s="7">
        <v>1500</v>
      </c>
      <c r="O12" s="11">
        <f t="shared" si="0"/>
        <v>0.33333333333333331</v>
      </c>
      <c r="AA12" s="7" t="s">
        <v>8</v>
      </c>
    </row>
    <row r="13" spans="1:28" x14ac:dyDescent="0.3">
      <c r="A13" s="7">
        <v>12</v>
      </c>
      <c r="B13" s="8">
        <v>45715</v>
      </c>
      <c r="C13" s="7" t="s">
        <v>86</v>
      </c>
      <c r="D13" s="7" t="s">
        <v>53</v>
      </c>
      <c r="E13" s="7" t="s">
        <v>54</v>
      </c>
      <c r="F13" s="7" t="s">
        <v>18</v>
      </c>
      <c r="H13" s="7" t="s">
        <v>48</v>
      </c>
      <c r="I13" s="7" cm="1">
        <f t="array" ref="I13">IF(OR(D13="", E13="", F13=""), "",
   INDEX(积分标准!$D$2:$D$100, MATCH(1,
       (积分标准!$A$2:$A$100=D13) *
       (积分标准!$B$2:$B$100=E13) *
       (积分标准!$C$2:$C$100=F13), 0)) +
   IF(H13="是", 0.5, 0))</f>
        <v>2</v>
      </c>
      <c r="J13" s="7" t="s">
        <v>59</v>
      </c>
      <c r="K13" s="7">
        <v>8675741</v>
      </c>
      <c r="M13" s="7">
        <v>250</v>
      </c>
      <c r="N13" s="7">
        <v>1500</v>
      </c>
      <c r="O13" s="11">
        <f t="shared" si="0"/>
        <v>0.33333333333333331</v>
      </c>
      <c r="AA13" s="7" t="s">
        <v>221</v>
      </c>
    </row>
    <row r="14" spans="1:28" x14ac:dyDescent="0.3">
      <c r="A14" s="7">
        <v>13</v>
      </c>
      <c r="B14" s="8">
        <v>45715</v>
      </c>
      <c r="C14" s="7" t="s">
        <v>86</v>
      </c>
      <c r="D14" s="7" t="s">
        <v>53</v>
      </c>
      <c r="E14" s="7" t="s">
        <v>54</v>
      </c>
      <c r="F14" s="7" t="s">
        <v>18</v>
      </c>
      <c r="H14" s="7" t="s">
        <v>48</v>
      </c>
      <c r="I14" s="7" cm="1">
        <f t="array" ref="I14">IF(OR(D14="", E14="", F14=""), "",
   INDEX(积分标准!$D$2:$D$100, MATCH(1,
       (积分标准!$A$2:$A$100=D14) *
       (积分标准!$B$2:$B$100=E14) *
       (积分标准!$C$2:$C$100=F14), 0)) +
   IF(H14="是", 0.5, 0))</f>
        <v>2</v>
      </c>
      <c r="J14" s="7" t="s">
        <v>60</v>
      </c>
      <c r="K14" s="7">
        <v>8684029</v>
      </c>
      <c r="M14" s="7">
        <v>250</v>
      </c>
      <c r="N14" s="7">
        <v>1500</v>
      </c>
      <c r="O14" s="11">
        <f t="shared" si="0"/>
        <v>0.33333333333333331</v>
      </c>
    </row>
    <row r="15" spans="1:28" x14ac:dyDescent="0.3">
      <c r="A15" s="7">
        <v>14</v>
      </c>
      <c r="B15" s="8">
        <v>45715</v>
      </c>
      <c r="C15" s="7" t="s">
        <v>86</v>
      </c>
      <c r="D15" s="7" t="s">
        <v>53</v>
      </c>
      <c r="E15" s="7" t="s">
        <v>54</v>
      </c>
      <c r="F15" s="7" t="s">
        <v>18</v>
      </c>
      <c r="H15" s="7" t="s">
        <v>48</v>
      </c>
      <c r="I15" s="7" cm="1">
        <f t="array" ref="I15">IF(OR(D15="", E15="", F15=""), "",
   INDEX(积分标准!$D$2:$D$100, MATCH(1,
       (积分标准!$A$2:$A$100=D15) *
       (积分标准!$B$2:$B$100=E15) *
       (积分标准!$C$2:$C$100=F15), 0)) +
   IF(H15="是", 0.5, 0))</f>
        <v>2</v>
      </c>
      <c r="J15" s="7" t="s">
        <v>61</v>
      </c>
      <c r="K15" s="7">
        <v>8683718</v>
      </c>
      <c r="M15" s="7">
        <v>250</v>
      </c>
      <c r="N15" s="7">
        <v>1500</v>
      </c>
      <c r="O15" s="11">
        <f t="shared" si="0"/>
        <v>0.33333333333333331</v>
      </c>
    </row>
    <row r="16" spans="1:28" x14ac:dyDescent="0.3">
      <c r="A16" s="7">
        <v>15</v>
      </c>
      <c r="B16" s="8">
        <v>45715</v>
      </c>
      <c r="C16" s="7" t="s">
        <v>214</v>
      </c>
      <c r="D16" s="7" t="s">
        <v>53</v>
      </c>
      <c r="E16" s="7" t="s">
        <v>54</v>
      </c>
      <c r="F16" s="7" t="s">
        <v>18</v>
      </c>
      <c r="H16" s="7" t="s">
        <v>48</v>
      </c>
      <c r="I16" s="7" cm="1">
        <f t="array" ref="I16">IF(OR(D16="", E16="", F16=""), "",
   INDEX(积分标准!$D$2:$D$100, MATCH(1,
       (积分标准!$A$2:$A$100=D16) *
       (积分标准!$B$2:$B$100=E16) *
       (积分标准!$C$2:$C$100=F16), 0)) +
   IF(H16="是", 0.5, 0))</f>
        <v>2</v>
      </c>
      <c r="J16" s="7" t="s">
        <v>73</v>
      </c>
      <c r="K16" s="7">
        <v>8681239</v>
      </c>
      <c r="M16" s="7">
        <v>500</v>
      </c>
      <c r="N16" s="7">
        <v>1500</v>
      </c>
      <c r="O16" s="11">
        <f t="shared" si="0"/>
        <v>0.66666666666666663</v>
      </c>
    </row>
    <row r="17" spans="1:15" x14ac:dyDescent="0.3">
      <c r="A17" s="7">
        <v>16</v>
      </c>
      <c r="B17" s="8">
        <v>45715</v>
      </c>
      <c r="C17" s="7" t="s">
        <v>214</v>
      </c>
      <c r="D17" s="7" t="s">
        <v>53</v>
      </c>
      <c r="E17" s="7" t="s">
        <v>54</v>
      </c>
      <c r="F17" s="7" t="s">
        <v>18</v>
      </c>
      <c r="H17" s="7" t="s">
        <v>48</v>
      </c>
      <c r="I17" s="7" cm="1">
        <f t="array" ref="I17">IF(OR(D17="", E17="", F17=""), "",
   INDEX(积分标准!$D$2:$D$100, MATCH(1,
       (积分标准!$A$2:$A$100=D17) *
       (积分标准!$B$2:$B$100=E17) *
       (积分标准!$C$2:$C$100=F17), 0)) +
   IF(H17="是", 0.5, 0))</f>
        <v>2</v>
      </c>
      <c r="J17" s="7" t="s">
        <v>74</v>
      </c>
      <c r="K17" s="7">
        <v>8612665</v>
      </c>
      <c r="M17" s="7">
        <v>500</v>
      </c>
      <c r="N17" s="7">
        <v>1500</v>
      </c>
      <c r="O17" s="11">
        <f t="shared" si="0"/>
        <v>0.66666666666666663</v>
      </c>
    </row>
    <row r="18" spans="1:15" x14ac:dyDescent="0.3">
      <c r="A18" s="7">
        <v>17</v>
      </c>
      <c r="B18" s="8">
        <v>45715</v>
      </c>
      <c r="C18" s="7" t="s">
        <v>55</v>
      </c>
      <c r="D18" s="7" t="s">
        <v>53</v>
      </c>
      <c r="E18" s="7" t="s">
        <v>54</v>
      </c>
      <c r="F18" s="7" t="s">
        <v>18</v>
      </c>
      <c r="H18" s="7" t="s">
        <v>48</v>
      </c>
      <c r="I18" s="7" cm="1">
        <f t="array" ref="I18">IF(OR(D18="", E18="", F18=""), "",
   INDEX(积分标准!$D$2:$D$100, MATCH(1,
       (积分标准!$A$2:$A$100=D18) *
       (积分标准!$B$2:$B$100=E18) *
       (积分标准!$C$2:$C$100=F18), 0)) +
   IF(H18="是", 0.5, 0))</f>
        <v>2</v>
      </c>
      <c r="J18" s="7" t="s">
        <v>1782</v>
      </c>
      <c r="K18" s="7">
        <v>8685694</v>
      </c>
      <c r="M18" s="7">
        <v>500</v>
      </c>
      <c r="N18" s="7">
        <v>1500</v>
      </c>
      <c r="O18" s="11">
        <f t="shared" si="0"/>
        <v>0.66666666666666663</v>
      </c>
    </row>
    <row r="19" spans="1:15" x14ac:dyDescent="0.3">
      <c r="A19" s="7">
        <v>18</v>
      </c>
      <c r="B19" s="8">
        <v>45715</v>
      </c>
      <c r="C19" s="7" t="s">
        <v>212</v>
      </c>
      <c r="D19" s="7" t="s">
        <v>53</v>
      </c>
      <c r="E19" s="7" t="s">
        <v>54</v>
      </c>
      <c r="F19" s="7" t="s">
        <v>19</v>
      </c>
      <c r="H19" s="7" t="s">
        <v>48</v>
      </c>
      <c r="I19" s="7" cm="1">
        <f t="array" ref="I19">IF(OR(D19="", E19="", F19=""), "",
   INDEX(积分标准!$D$2:$D$100, MATCH(1,
       (积分标准!$A$2:$A$100=D19) *
       (积分标准!$B$2:$B$100=E19) *
       (积分标准!$C$2:$C$100=F19), 0)) +
   IF(H19="是", 0.5, 0))</f>
        <v>1.5</v>
      </c>
      <c r="J19" s="7" t="s">
        <v>62</v>
      </c>
      <c r="K19" s="22">
        <v>8676581</v>
      </c>
      <c r="M19" s="7">
        <v>400</v>
      </c>
      <c r="N19" s="7">
        <v>1000</v>
      </c>
      <c r="O19" s="11">
        <f t="shared" si="0"/>
        <v>0.60000000000000009</v>
      </c>
    </row>
    <row r="20" spans="1:15" x14ac:dyDescent="0.3">
      <c r="A20" s="7">
        <v>19</v>
      </c>
      <c r="B20" s="8">
        <v>45715</v>
      </c>
      <c r="C20" s="7" t="s">
        <v>212</v>
      </c>
      <c r="D20" s="7" t="s">
        <v>53</v>
      </c>
      <c r="E20" s="7" t="s">
        <v>54</v>
      </c>
      <c r="F20" s="7" t="s">
        <v>19</v>
      </c>
      <c r="H20" s="7" t="s">
        <v>48</v>
      </c>
      <c r="I20" s="7" cm="1">
        <f t="array" ref="I20">IF(OR(D20="", E20="", F20=""), "",
   INDEX(积分标准!$D$2:$D$100, MATCH(1,
       (积分标准!$A$2:$A$100=D20) *
       (积分标准!$B$2:$B$100=E20) *
       (积分标准!$C$2:$C$100=F20), 0)) +
   IF(H20="是", 0.5, 0))</f>
        <v>1.5</v>
      </c>
      <c r="J20" s="7" t="s">
        <v>63</v>
      </c>
      <c r="K20" s="22">
        <v>8676591</v>
      </c>
      <c r="M20" s="7">
        <v>400</v>
      </c>
      <c r="N20" s="7">
        <v>1000</v>
      </c>
      <c r="O20" s="11">
        <f t="shared" si="0"/>
        <v>0.60000000000000009</v>
      </c>
    </row>
    <row r="21" spans="1:15" x14ac:dyDescent="0.3">
      <c r="A21" s="7">
        <v>20</v>
      </c>
      <c r="B21" s="8">
        <v>45715</v>
      </c>
      <c r="C21" s="7" t="s">
        <v>212</v>
      </c>
      <c r="D21" s="7" t="s">
        <v>53</v>
      </c>
      <c r="E21" s="7" t="s">
        <v>54</v>
      </c>
      <c r="F21" s="7" t="s">
        <v>19</v>
      </c>
      <c r="H21" s="7" t="s">
        <v>48</v>
      </c>
      <c r="I21" s="7" cm="1">
        <f t="array" ref="I21">IF(OR(D21="", E21="", F21=""), "",
   INDEX(积分标准!$D$2:$D$100, MATCH(1,
       (积分标准!$A$2:$A$100=D21) *
       (积分标准!$B$2:$B$100=E21) *
       (积分标准!$C$2:$C$100=F21), 0)) +
   IF(H21="是", 0.5, 0))</f>
        <v>1.5</v>
      </c>
      <c r="J21" s="7" t="s">
        <v>64</v>
      </c>
      <c r="K21" s="22">
        <v>8700494</v>
      </c>
      <c r="M21" s="7">
        <v>200</v>
      </c>
      <c r="N21" s="7">
        <v>1000</v>
      </c>
      <c r="O21" s="11">
        <f t="shared" si="0"/>
        <v>0.30000000000000004</v>
      </c>
    </row>
    <row r="22" spans="1:15" x14ac:dyDescent="0.3">
      <c r="A22" s="7">
        <v>21</v>
      </c>
      <c r="B22" s="8">
        <v>45715</v>
      </c>
      <c r="C22" s="7" t="s">
        <v>52</v>
      </c>
      <c r="D22" s="7" t="s">
        <v>53</v>
      </c>
      <c r="E22" s="7" t="s">
        <v>54</v>
      </c>
      <c r="F22" s="7" t="s">
        <v>19</v>
      </c>
      <c r="H22" s="7" t="s">
        <v>48</v>
      </c>
      <c r="I22" s="7" cm="1">
        <f t="array" ref="I22">IF(OR(D22="", E22="", F22=""), "",
   INDEX(积分标准!$D$2:$D$100, MATCH(1,
       (积分标准!$A$2:$A$100=D22) *
       (积分标准!$B$2:$B$100=E22) *
       (积分标准!$C$2:$C$100=F22), 0)) +
   IF(H22="是", 0.5, 0))</f>
        <v>1.5</v>
      </c>
      <c r="J22" s="7" t="s">
        <v>76</v>
      </c>
      <c r="K22" s="7">
        <v>8680051</v>
      </c>
      <c r="M22" s="7">
        <v>200</v>
      </c>
      <c r="N22" s="7">
        <v>1000</v>
      </c>
      <c r="O22" s="11">
        <f t="shared" si="0"/>
        <v>0.30000000000000004</v>
      </c>
    </row>
    <row r="23" spans="1:15" x14ac:dyDescent="0.3">
      <c r="A23" s="7">
        <v>22</v>
      </c>
      <c r="B23" s="8">
        <v>45715</v>
      </c>
      <c r="C23" s="7" t="s">
        <v>52</v>
      </c>
      <c r="D23" s="7" t="s">
        <v>53</v>
      </c>
      <c r="E23" s="7" t="s">
        <v>54</v>
      </c>
      <c r="F23" s="7" t="s">
        <v>19</v>
      </c>
      <c r="H23" s="7" t="s">
        <v>48</v>
      </c>
      <c r="I23" s="7" cm="1">
        <f t="array" ref="I23">IF(OR(D23="", E23="", F23=""), "",
   INDEX(积分标准!$D$2:$D$100, MATCH(1,
       (积分标准!$A$2:$A$100=D23) *
       (积分标准!$B$2:$B$100=E23) *
       (积分标准!$C$2:$C$100=F23), 0)) +
   IF(H23="是", 0.5, 0))</f>
        <v>1.5</v>
      </c>
      <c r="J23" s="7" t="s">
        <v>77</v>
      </c>
      <c r="K23" s="7">
        <v>8673998</v>
      </c>
      <c r="M23" s="7">
        <v>200</v>
      </c>
      <c r="N23" s="7">
        <v>1000</v>
      </c>
      <c r="O23" s="11">
        <f t="shared" si="0"/>
        <v>0.30000000000000004</v>
      </c>
    </row>
    <row r="24" spans="1:15" x14ac:dyDescent="0.3">
      <c r="A24" s="7">
        <v>23</v>
      </c>
      <c r="B24" s="8">
        <v>45715</v>
      </c>
      <c r="C24" s="7" t="s">
        <v>52</v>
      </c>
      <c r="D24" s="7" t="s">
        <v>53</v>
      </c>
      <c r="E24" s="7" t="s">
        <v>54</v>
      </c>
      <c r="F24" s="7" t="s">
        <v>19</v>
      </c>
      <c r="H24" s="7" t="s">
        <v>48</v>
      </c>
      <c r="I24" s="7" cm="1">
        <f t="array" ref="I24">IF(OR(D24="", E24="", F24=""), "",
   INDEX(积分标准!$D$2:$D$100, MATCH(1,
       (积分标准!$A$2:$A$100=D24) *
       (积分标准!$B$2:$B$100=E24) *
       (积分标准!$C$2:$C$100=F24), 0)) +
   IF(H24="是", 0.5, 0))</f>
        <v>1.5</v>
      </c>
      <c r="J24" s="7" t="s">
        <v>78</v>
      </c>
      <c r="K24" s="7">
        <v>8685711</v>
      </c>
      <c r="M24" s="7">
        <v>200</v>
      </c>
      <c r="N24" s="7">
        <v>1000</v>
      </c>
      <c r="O24" s="11">
        <f t="shared" si="0"/>
        <v>0.30000000000000004</v>
      </c>
    </row>
    <row r="25" spans="1:15" x14ac:dyDescent="0.3">
      <c r="A25" s="7">
        <v>24</v>
      </c>
      <c r="B25" s="8">
        <v>45715</v>
      </c>
      <c r="C25" s="7" t="s">
        <v>52</v>
      </c>
      <c r="D25" s="7" t="s">
        <v>53</v>
      </c>
      <c r="E25" s="7" t="s">
        <v>54</v>
      </c>
      <c r="F25" s="7" t="s">
        <v>19</v>
      </c>
      <c r="H25" s="7" t="s">
        <v>48</v>
      </c>
      <c r="I25" s="7" cm="1">
        <f t="array" ref="I25">IF(OR(D25="", E25="", F25=""), "",
   INDEX(积分标准!$D$2:$D$100, MATCH(1,
       (积分标准!$A$2:$A$100=D25) *
       (积分标准!$B$2:$B$100=E25) *
       (积分标准!$C$2:$C$100=F25), 0)) +
   IF(H25="是", 0.5, 0))</f>
        <v>1.5</v>
      </c>
      <c r="J25" s="7" t="s">
        <v>79</v>
      </c>
      <c r="K25" s="7">
        <v>8674452</v>
      </c>
      <c r="M25" s="7">
        <v>200</v>
      </c>
      <c r="N25" s="7">
        <v>1000</v>
      </c>
      <c r="O25" s="11">
        <f t="shared" si="0"/>
        <v>0.30000000000000004</v>
      </c>
    </row>
    <row r="26" spans="1:15" x14ac:dyDescent="0.3">
      <c r="A26" s="7">
        <v>25</v>
      </c>
      <c r="B26" s="8">
        <v>45715</v>
      </c>
      <c r="C26" s="7" t="s">
        <v>52</v>
      </c>
      <c r="D26" s="7" t="s">
        <v>53</v>
      </c>
      <c r="E26" s="7" t="s">
        <v>54</v>
      </c>
      <c r="F26" s="7" t="s">
        <v>19</v>
      </c>
      <c r="H26" s="7" t="s">
        <v>48</v>
      </c>
      <c r="I26" s="7" cm="1">
        <f t="array" ref="I26">IF(OR(D26="", E26="", F26=""), "",
   INDEX(积分标准!$D$2:$D$100, MATCH(1,
       (积分标准!$A$2:$A$100=D26) *
       (积分标准!$B$2:$B$100=E26) *
       (积分标准!$C$2:$C$100=F26), 0)) +
   IF(H26="是", 0.5, 0))</f>
        <v>1.5</v>
      </c>
      <c r="J26" s="7" t="s">
        <v>80</v>
      </c>
      <c r="K26" s="7">
        <v>8682845</v>
      </c>
      <c r="M26" s="7">
        <v>200</v>
      </c>
      <c r="N26" s="7">
        <v>1000</v>
      </c>
      <c r="O26" s="11">
        <f t="shared" si="0"/>
        <v>0.30000000000000004</v>
      </c>
    </row>
    <row r="27" spans="1:15" x14ac:dyDescent="0.3">
      <c r="A27" s="7">
        <v>26</v>
      </c>
      <c r="B27" s="8">
        <v>45715</v>
      </c>
      <c r="C27" s="7" t="s">
        <v>87</v>
      </c>
      <c r="D27" s="7" t="s">
        <v>53</v>
      </c>
      <c r="E27" s="7" t="s">
        <v>54</v>
      </c>
      <c r="F27" s="7" t="s">
        <v>19</v>
      </c>
      <c r="H27" s="7" t="s">
        <v>48</v>
      </c>
      <c r="I27" s="7" cm="1">
        <f t="array" ref="I27">IF(OR(D27="", E27="", F27=""), "",
   INDEX(积分标准!$D$2:$D$100, MATCH(1,
       (积分标准!$A$2:$A$100=D27) *
       (积分标准!$B$2:$B$100=E27) *
       (积分标准!$C$2:$C$100=F27), 0)) +
   IF(H27="是", 0.5, 0))</f>
        <v>1.5</v>
      </c>
      <c r="J27" s="7" t="s">
        <v>81</v>
      </c>
      <c r="K27" s="7">
        <v>8614160</v>
      </c>
      <c r="M27" s="7">
        <v>100</v>
      </c>
      <c r="N27" s="7">
        <v>1000</v>
      </c>
      <c r="O27" s="11">
        <f t="shared" si="0"/>
        <v>0.15000000000000002</v>
      </c>
    </row>
    <row r="28" spans="1:15" x14ac:dyDescent="0.3">
      <c r="A28" s="7">
        <v>27</v>
      </c>
      <c r="B28" s="8">
        <v>45715</v>
      </c>
      <c r="C28" s="7" t="s">
        <v>87</v>
      </c>
      <c r="D28" s="7" t="s">
        <v>53</v>
      </c>
      <c r="E28" s="7" t="s">
        <v>54</v>
      </c>
      <c r="F28" s="7" t="s">
        <v>19</v>
      </c>
      <c r="H28" s="7" t="s">
        <v>48</v>
      </c>
      <c r="I28" s="7" cm="1">
        <f t="array" ref="I28">IF(OR(D28="", E28="", F28=""), "",
   INDEX(积分标准!$D$2:$D$100, MATCH(1,
       (积分标准!$A$2:$A$100=D28) *
       (积分标准!$B$2:$B$100=E28) *
       (积分标准!$C$2:$C$100=F28), 0)) +
   IF(H28="是", 0.5, 0))</f>
        <v>1.5</v>
      </c>
      <c r="J28" s="7" t="s">
        <v>82</v>
      </c>
      <c r="K28" s="7">
        <v>8683568</v>
      </c>
      <c r="M28" s="7">
        <v>400</v>
      </c>
      <c r="N28" s="7">
        <v>1000</v>
      </c>
      <c r="O28" s="11">
        <f t="shared" si="0"/>
        <v>0.60000000000000009</v>
      </c>
    </row>
    <row r="29" spans="1:15" x14ac:dyDescent="0.3">
      <c r="A29" s="7">
        <v>28</v>
      </c>
      <c r="B29" s="8">
        <v>45715</v>
      </c>
      <c r="C29" s="7" t="s">
        <v>87</v>
      </c>
      <c r="D29" s="7" t="s">
        <v>53</v>
      </c>
      <c r="E29" s="7" t="s">
        <v>54</v>
      </c>
      <c r="F29" s="7" t="s">
        <v>19</v>
      </c>
      <c r="H29" s="7" t="s">
        <v>48</v>
      </c>
      <c r="I29" s="7" cm="1">
        <f t="array" ref="I29">IF(OR(D29="", E29="", F29=""), "",
   INDEX(积分标准!$D$2:$D$100, MATCH(1,
       (积分标准!$A$2:$A$100=D29) *
       (积分标准!$B$2:$B$100=E29) *
       (积分标准!$C$2:$C$100=F29), 0)) +
   IF(H29="是", 0.5, 0))</f>
        <v>1.5</v>
      </c>
      <c r="J29" s="7" t="s">
        <v>83</v>
      </c>
      <c r="K29" s="7">
        <v>8676593</v>
      </c>
      <c r="M29" s="7">
        <v>400</v>
      </c>
      <c r="N29" s="7">
        <v>1000</v>
      </c>
      <c r="O29" s="11">
        <f t="shared" si="0"/>
        <v>0.60000000000000009</v>
      </c>
    </row>
    <row r="30" spans="1:15" x14ac:dyDescent="0.3">
      <c r="A30" s="7">
        <v>29</v>
      </c>
      <c r="B30" s="8">
        <v>45715</v>
      </c>
      <c r="C30" s="7" t="s">
        <v>140</v>
      </c>
      <c r="D30" s="7" t="s">
        <v>53</v>
      </c>
      <c r="E30" s="7" t="s">
        <v>54</v>
      </c>
      <c r="F30" s="7" t="s">
        <v>19</v>
      </c>
      <c r="H30" s="7" t="s">
        <v>48</v>
      </c>
      <c r="I30" s="7" cm="1">
        <f t="array" ref="I30">IF(OR(D30="", E30="", F30=""), "",
   INDEX(积分标准!$D$2:$D$100, MATCH(1,
       (积分标准!$A$2:$A$100=D30) *
       (积分标准!$B$2:$B$100=E30) *
       (积分标准!$C$2:$C$100=F30), 0)) +
   IF(H30="是", 0.5, 0))</f>
        <v>1.5</v>
      </c>
      <c r="J30" s="7" t="s">
        <v>84</v>
      </c>
      <c r="K30" s="7">
        <v>8695305</v>
      </c>
      <c r="M30" s="7">
        <v>50</v>
      </c>
      <c r="N30" s="7">
        <v>1000</v>
      </c>
      <c r="O30" s="11">
        <f t="shared" si="0"/>
        <v>7.5000000000000011E-2</v>
      </c>
    </row>
    <row r="31" spans="1:15" x14ac:dyDescent="0.3">
      <c r="A31" s="7">
        <v>30</v>
      </c>
      <c r="B31" s="8">
        <v>45715</v>
      </c>
      <c r="C31" s="7" t="s">
        <v>87</v>
      </c>
      <c r="D31" s="7" t="s">
        <v>53</v>
      </c>
      <c r="E31" s="7" t="s">
        <v>54</v>
      </c>
      <c r="F31" s="7" t="s">
        <v>19</v>
      </c>
      <c r="H31" s="7" t="s">
        <v>48</v>
      </c>
      <c r="I31" s="7" cm="1">
        <f t="array" ref="I31">IF(OR(D31="", E31="", F31=""), "",
   INDEX(积分标准!$D$2:$D$100, MATCH(1,
       (积分标准!$A$2:$A$100=D31) *
       (积分标准!$B$2:$B$100=E31) *
       (积分标准!$C$2:$C$100=F31), 0)) +
   IF(H31="是", 0.5, 0))</f>
        <v>1.5</v>
      </c>
      <c r="J31" s="7" t="s">
        <v>85</v>
      </c>
      <c r="K31" s="7">
        <v>8683084</v>
      </c>
      <c r="M31" s="7">
        <v>50</v>
      </c>
      <c r="N31" s="7">
        <v>1000</v>
      </c>
      <c r="O31" s="11">
        <f t="shared" si="0"/>
        <v>7.5000000000000011E-2</v>
      </c>
    </row>
    <row r="32" spans="1:15" x14ac:dyDescent="0.3">
      <c r="A32" s="7">
        <v>31</v>
      </c>
      <c r="B32" s="8">
        <v>45720</v>
      </c>
      <c r="C32" s="7" t="s">
        <v>87</v>
      </c>
      <c r="D32" s="7" t="s">
        <v>53</v>
      </c>
      <c r="E32" s="7" t="s">
        <v>54</v>
      </c>
      <c r="F32" s="7" t="s">
        <v>17</v>
      </c>
      <c r="H32" s="7" t="s">
        <v>48</v>
      </c>
      <c r="I32" s="7" cm="1">
        <f t="array" ref="I32">IF(OR(D32="", E32="", F32=""), "",
   INDEX(积分标准!$D$2:$D$100, MATCH(1,
       (积分标准!$A$2:$A$100=D32) *
       (积分标准!$B$2:$B$100=E32) *
       (积分标准!$C$2:$C$100=F32), 0)) +
   IF(H32="是", 0.5, 0))</f>
        <v>2.5</v>
      </c>
      <c r="J32" s="7" t="s">
        <v>89</v>
      </c>
      <c r="K32" s="7">
        <v>8674056</v>
      </c>
      <c r="L32" s="7" t="s">
        <v>95</v>
      </c>
      <c r="M32" s="7">
        <v>600</v>
      </c>
      <c r="N32" s="7">
        <v>600</v>
      </c>
      <c r="O32" s="11">
        <f t="shared" si="0"/>
        <v>2.5</v>
      </c>
    </row>
    <row r="33" spans="1:16" x14ac:dyDescent="0.3">
      <c r="A33" s="7">
        <v>32</v>
      </c>
      <c r="B33" s="8">
        <v>45720</v>
      </c>
      <c r="C33" s="7" t="s">
        <v>52</v>
      </c>
      <c r="D33" s="7" t="s">
        <v>53</v>
      </c>
      <c r="E33" s="7" t="s">
        <v>54</v>
      </c>
      <c r="F33" s="7" t="s">
        <v>18</v>
      </c>
      <c r="H33" s="7" t="s">
        <v>29</v>
      </c>
      <c r="I33" s="7" cm="1">
        <f t="array" ref="I33">IF(OR(D33="", E33="", F33=""), "",
   INDEX(积分标准!$D$2:$D$100, MATCH(1,
       (积分标准!$A$2:$A$100=D33) *
       (积分标准!$B$2:$B$100=E33) *
       (积分标准!$C$2:$C$100=F33), 0)) +
   IF(H33="是", 0.5, 0))</f>
        <v>2.5</v>
      </c>
      <c r="J33" s="7" t="s">
        <v>77</v>
      </c>
      <c r="K33" s="7">
        <v>8673998</v>
      </c>
      <c r="L33" s="7" t="s">
        <v>95</v>
      </c>
      <c r="M33" s="7">
        <v>400</v>
      </c>
      <c r="N33" s="7">
        <v>400</v>
      </c>
      <c r="O33" s="11">
        <f t="shared" si="0"/>
        <v>2.5</v>
      </c>
      <c r="P33" s="7" t="s">
        <v>115</v>
      </c>
    </row>
    <row r="34" spans="1:16" x14ac:dyDescent="0.3">
      <c r="A34" s="7">
        <v>33</v>
      </c>
      <c r="B34" s="8">
        <v>45720</v>
      </c>
      <c r="C34" s="7" t="s">
        <v>52</v>
      </c>
      <c r="D34" s="7" t="s">
        <v>53</v>
      </c>
      <c r="E34" s="7" t="s">
        <v>54</v>
      </c>
      <c r="F34" s="7" t="s">
        <v>18</v>
      </c>
      <c r="H34" s="7" t="s">
        <v>48</v>
      </c>
      <c r="I34" s="7" cm="1">
        <f t="array" ref="I34">IF(OR(D34="", E34="", F34=""), "",
   INDEX(积分标准!$D$2:$D$100, MATCH(1,
       (积分标准!$A$2:$A$100=D34) *
       (积分标准!$B$2:$B$100=E34) *
       (积分标准!$C$2:$C$100=F34), 0)) +
   IF(H34="是", 0.5, 0))</f>
        <v>2</v>
      </c>
      <c r="J34" s="7" t="s">
        <v>90</v>
      </c>
      <c r="K34" s="7">
        <v>8722477</v>
      </c>
      <c r="L34" s="7" t="s">
        <v>95</v>
      </c>
      <c r="M34" s="7">
        <v>400</v>
      </c>
      <c r="N34" s="7">
        <v>400</v>
      </c>
      <c r="O34" s="11">
        <f t="shared" si="0"/>
        <v>2</v>
      </c>
    </row>
    <row r="35" spans="1:16" x14ac:dyDescent="0.3">
      <c r="A35" s="7">
        <v>34</v>
      </c>
      <c r="B35" s="8">
        <v>45720</v>
      </c>
      <c r="C35" s="7" t="s">
        <v>88</v>
      </c>
      <c r="D35" s="7" t="s">
        <v>53</v>
      </c>
      <c r="E35" s="7" t="s">
        <v>54</v>
      </c>
      <c r="F35" s="7" t="s">
        <v>19</v>
      </c>
      <c r="H35" s="7" t="s">
        <v>48</v>
      </c>
      <c r="I35" s="7" cm="1">
        <f t="array" ref="I35">IF(OR(D35="", E35="", F35=""), "",
   INDEX(积分标准!$D$2:$D$100, MATCH(1,
       (积分标准!$A$2:$A$100=D35) *
       (积分标准!$B$2:$B$100=E35) *
       (积分标准!$C$2:$C$100=F35), 0)) +
   IF(H35="是", 0.5, 0))</f>
        <v>1.5</v>
      </c>
      <c r="J35" s="7" t="s">
        <v>70</v>
      </c>
      <c r="K35" s="7">
        <v>8680291</v>
      </c>
      <c r="L35" s="7" t="s">
        <v>95</v>
      </c>
      <c r="M35" s="7">
        <v>200</v>
      </c>
      <c r="N35" s="7">
        <v>200</v>
      </c>
      <c r="O35" s="11">
        <f t="shared" si="0"/>
        <v>1.5</v>
      </c>
    </row>
    <row r="36" spans="1:16" x14ac:dyDescent="0.3">
      <c r="A36" s="7">
        <v>35</v>
      </c>
      <c r="B36" s="8">
        <v>45720</v>
      </c>
      <c r="C36" s="7" t="s">
        <v>218</v>
      </c>
      <c r="D36" s="7" t="s">
        <v>53</v>
      </c>
      <c r="E36" s="7" t="s">
        <v>54</v>
      </c>
      <c r="F36" s="7" t="s">
        <v>19</v>
      </c>
      <c r="H36" s="7" t="s">
        <v>48</v>
      </c>
      <c r="I36" s="7" cm="1">
        <f t="array" ref="I36">IF(OR(D36="", E36="", F36=""), "",
   INDEX(积分标准!$D$2:$D$100, MATCH(1,
       (积分标准!$A$2:$A$100=D36) *
       (积分标准!$B$2:$B$100=E36) *
       (积分标准!$C$2:$C$100=F36), 0)) +
   IF(H36="是", 0.5, 0))</f>
        <v>1.5</v>
      </c>
      <c r="J36" s="7" t="s">
        <v>91</v>
      </c>
      <c r="K36" s="7">
        <v>8672926</v>
      </c>
      <c r="L36" s="7" t="s">
        <v>95</v>
      </c>
      <c r="M36" s="7">
        <v>200</v>
      </c>
      <c r="N36" s="7">
        <v>200</v>
      </c>
      <c r="O36" s="11">
        <f t="shared" si="0"/>
        <v>1.5</v>
      </c>
    </row>
    <row r="37" spans="1:16" x14ac:dyDescent="0.3">
      <c r="A37" s="7">
        <v>36</v>
      </c>
      <c r="B37" s="8">
        <v>45720</v>
      </c>
      <c r="C37" s="7" t="s">
        <v>212</v>
      </c>
      <c r="D37" s="7" t="s">
        <v>53</v>
      </c>
      <c r="E37" s="7" t="s">
        <v>54</v>
      </c>
      <c r="F37" s="7" t="s">
        <v>19</v>
      </c>
      <c r="H37" s="7" t="s">
        <v>48</v>
      </c>
      <c r="I37" s="7" cm="1">
        <f t="array" ref="I37">IF(OR(D37="", E37="", F37=""), "",
   INDEX(积分标准!$D$2:$D$100, MATCH(1,
       (积分标准!$A$2:$A$100=D37) *
       (积分标准!$B$2:$B$100=E37) *
       (积分标准!$C$2:$C$100=F37), 0)) +
   IF(H37="是", 0.5, 0))</f>
        <v>1.5</v>
      </c>
      <c r="J37" s="7" t="s">
        <v>63</v>
      </c>
      <c r="K37" s="7">
        <v>8676591</v>
      </c>
      <c r="L37" s="7" t="s">
        <v>95</v>
      </c>
      <c r="M37" s="7">
        <v>200</v>
      </c>
      <c r="N37" s="7">
        <v>200</v>
      </c>
      <c r="O37" s="11">
        <f t="shared" si="0"/>
        <v>1.5</v>
      </c>
    </row>
    <row r="38" spans="1:16" x14ac:dyDescent="0.3">
      <c r="A38" s="7">
        <v>37</v>
      </c>
      <c r="B38" s="8">
        <v>45678</v>
      </c>
      <c r="C38" s="7" t="s">
        <v>55</v>
      </c>
      <c r="D38" s="7" t="s">
        <v>103</v>
      </c>
      <c r="E38" s="7" t="s">
        <v>104</v>
      </c>
      <c r="F38" s="7" t="s">
        <v>17</v>
      </c>
      <c r="H38" s="7" t="s">
        <v>48</v>
      </c>
      <c r="I38" s="7" cm="1">
        <f t="array" ref="I38">IF(OR(D38="", E38="", F38=""), "",
   INDEX(积分标准!$D$2:$D$100, MATCH(1,
       (积分标准!$A$2:$A$100=D38) *
       (积分标准!$B$2:$B$100=E38) *
       (积分标准!$C$2:$C$100=F38), 0)) +
   IF(H38="是", 0.5, 0))</f>
        <v>3</v>
      </c>
      <c r="J38" s="7" t="s">
        <v>102</v>
      </c>
      <c r="K38" s="7">
        <v>8699083</v>
      </c>
      <c r="L38" s="7" t="s">
        <v>105</v>
      </c>
      <c r="M38" s="7">
        <v>1</v>
      </c>
      <c r="N38" s="7">
        <v>1</v>
      </c>
      <c r="O38" s="11">
        <f t="shared" si="0"/>
        <v>3</v>
      </c>
    </row>
    <row r="39" spans="1:16" x14ac:dyDescent="0.3">
      <c r="A39" s="7">
        <v>38</v>
      </c>
      <c r="B39" s="8">
        <v>45658</v>
      </c>
      <c r="C39" s="7" t="s">
        <v>52</v>
      </c>
      <c r="D39" s="7" t="s">
        <v>103</v>
      </c>
      <c r="E39" s="7" t="s">
        <v>104</v>
      </c>
      <c r="F39" s="7" t="s">
        <v>19</v>
      </c>
      <c r="H39" s="7" t="s">
        <v>48</v>
      </c>
      <c r="I39" s="7" cm="1">
        <f t="array" ref="I39">IF(OR(D39="", E39="", F39=""), "",
   INDEX(积分标准!$D$2:$D$100, MATCH(1,
       (积分标准!$A$2:$A$100=D39) *
       (积分标准!$B$2:$B$100=E39) *
       (积分标准!$C$2:$C$100=F39), 0)) +
   IF(H39="是", 0.5, 0))</f>
        <v>1</v>
      </c>
      <c r="J39" s="7" t="s">
        <v>107</v>
      </c>
      <c r="K39" s="7">
        <v>8687986</v>
      </c>
      <c r="L39" s="7" t="s">
        <v>108</v>
      </c>
      <c r="M39" s="7">
        <v>1</v>
      </c>
      <c r="N39" s="7">
        <v>1</v>
      </c>
      <c r="O39" s="11">
        <f t="shared" si="0"/>
        <v>1</v>
      </c>
    </row>
    <row r="40" spans="1:16" x14ac:dyDescent="0.3">
      <c r="A40" s="7">
        <v>39</v>
      </c>
      <c r="B40" s="8">
        <v>45689</v>
      </c>
      <c r="C40" s="7" t="s">
        <v>109</v>
      </c>
      <c r="D40" s="7" t="s">
        <v>103</v>
      </c>
      <c r="E40" s="7" t="s">
        <v>136</v>
      </c>
      <c r="F40" s="7" t="s">
        <v>110</v>
      </c>
      <c r="H40" s="7" t="s">
        <v>48</v>
      </c>
      <c r="I40" s="7" cm="1">
        <f t="array" ref="I40">IF(OR(D40="", E40="", F40=""), "",
   INDEX(积分标准!$D$2:$D$100, MATCH(1,
       (积分标准!$A$2:$A$100=D40) *
       (积分标准!$B$2:$B$100=E40) *
       (积分标准!$C$2:$C$100=F40), 0)) +
   IF(H40="是", 0.5, 0))</f>
        <v>3</v>
      </c>
      <c r="J40" s="7" t="s">
        <v>113</v>
      </c>
      <c r="K40" s="7">
        <v>8696816</v>
      </c>
      <c r="L40" s="7" t="s">
        <v>111</v>
      </c>
      <c r="M40" s="7">
        <v>1</v>
      </c>
      <c r="N40" s="7">
        <v>1</v>
      </c>
      <c r="O40" s="11">
        <f t="shared" si="0"/>
        <v>3</v>
      </c>
    </row>
    <row r="41" spans="1:16" x14ac:dyDescent="0.3">
      <c r="A41" s="7">
        <v>40</v>
      </c>
      <c r="B41" s="8">
        <v>45748</v>
      </c>
      <c r="C41" s="7" t="s">
        <v>4</v>
      </c>
      <c r="D41" s="7" t="s">
        <v>103</v>
      </c>
      <c r="E41" s="7" t="s">
        <v>136</v>
      </c>
      <c r="F41" s="7" t="s">
        <v>18</v>
      </c>
      <c r="H41" s="7" t="s">
        <v>48</v>
      </c>
      <c r="I41" s="7" cm="1">
        <f t="array" ref="I41">IF(OR(D41="", E41="", F41=""), "",
   INDEX(积分标准!$D$2:$D$100, MATCH(1,
       (积分标准!$A$2:$A$100=D41) *
       (积分标准!$B$2:$B$100=E41) *
       (积分标准!$C$2:$C$100=F41), 0)) +
   IF(H41="是", 0.5, 0))</f>
        <v>4</v>
      </c>
      <c r="J41" s="7" t="s">
        <v>144</v>
      </c>
      <c r="K41" s="22">
        <v>8683930</v>
      </c>
      <c r="L41" s="7" t="s">
        <v>132</v>
      </c>
      <c r="M41" s="7">
        <v>1</v>
      </c>
      <c r="N41" s="7">
        <v>1</v>
      </c>
      <c r="O41" s="11">
        <f t="shared" ref="O41:O43" si="1">M41/N41*I41</f>
        <v>4</v>
      </c>
    </row>
    <row r="42" spans="1:16" x14ac:dyDescent="0.3">
      <c r="A42" s="7">
        <v>41</v>
      </c>
      <c r="B42" s="8">
        <v>45748</v>
      </c>
      <c r="C42" s="7" t="s">
        <v>1</v>
      </c>
      <c r="D42" s="7" t="s">
        <v>103</v>
      </c>
      <c r="E42" s="7" t="s">
        <v>136</v>
      </c>
      <c r="F42" s="7" t="s">
        <v>19</v>
      </c>
      <c r="H42" s="7" t="s">
        <v>48</v>
      </c>
      <c r="I42" s="7" cm="1">
        <f t="array" ref="I42">IF(OR(D42="", E42="", F42=""), "",
   INDEX(积分标准!$D$2:$D$100, MATCH(1,
       (积分标准!$A$2:$A$100=D42) *
       (积分标准!$B$2:$B$100=E42) *
       (积分标准!$C$2:$C$100=F42), 0)) +
   IF(H42="是", 0.5, 0))</f>
        <v>3</v>
      </c>
      <c r="J42" s="7" t="s">
        <v>137</v>
      </c>
      <c r="K42" s="22">
        <v>8680603</v>
      </c>
      <c r="L42" s="7" t="s">
        <v>133</v>
      </c>
      <c r="M42" s="7">
        <v>1</v>
      </c>
      <c r="N42" s="7">
        <v>1</v>
      </c>
      <c r="O42" s="11">
        <f t="shared" si="1"/>
        <v>3</v>
      </c>
    </row>
    <row r="43" spans="1:16" x14ac:dyDescent="0.3">
      <c r="A43" s="7">
        <v>42</v>
      </c>
      <c r="B43" s="8">
        <v>45748</v>
      </c>
      <c r="C43" s="7" t="s">
        <v>3</v>
      </c>
      <c r="D43" s="7" t="s">
        <v>103</v>
      </c>
      <c r="E43" s="7" t="s">
        <v>136</v>
      </c>
      <c r="F43" s="7" t="s">
        <v>110</v>
      </c>
      <c r="H43" s="7" t="s">
        <v>48</v>
      </c>
      <c r="I43" s="7" cm="1">
        <f t="array" ref="I43">IF(OR(D43="", E43="", F43=""), "",
   INDEX(积分标准!$D$2:$D$100, MATCH(1,
       (积分标准!$A$2:$A$100=D43) *
       (积分标准!$B$2:$B$100=E43) *
       (积分标准!$C$2:$C$100=F43), 0)) +
   IF(H43="是", 0.5, 0))</f>
        <v>3</v>
      </c>
      <c r="J43" s="7" t="s">
        <v>138</v>
      </c>
      <c r="K43" s="22">
        <v>8615446</v>
      </c>
      <c r="L43" s="7" t="s">
        <v>139</v>
      </c>
      <c r="M43" s="7">
        <v>1</v>
      </c>
      <c r="N43" s="7">
        <v>1</v>
      </c>
      <c r="O43" s="11">
        <f t="shared" si="1"/>
        <v>3</v>
      </c>
    </row>
    <row r="44" spans="1:16" x14ac:dyDescent="0.3">
      <c r="A44" s="7">
        <v>43</v>
      </c>
      <c r="B44" s="8">
        <v>45783</v>
      </c>
      <c r="C44" s="7" t="s">
        <v>88</v>
      </c>
      <c r="D44" s="7" t="s">
        <v>53</v>
      </c>
      <c r="E44" s="7" t="s">
        <v>149</v>
      </c>
      <c r="F44" s="7" t="s">
        <v>150</v>
      </c>
      <c r="G44" s="7" t="s">
        <v>117</v>
      </c>
      <c r="H44" s="7" t="s">
        <v>29</v>
      </c>
      <c r="I44" s="7" cm="1">
        <f t="array" ref="I44">IF(OR(D44="", E44="", F44=""), "",
   INDEX(积分标准!$D$2:$D$100, MATCH(1,
       (积分标准!$A$2:$A$100=D44) *
       (积分标准!$B$2:$B$100=E44) *
       (积分标准!$C$2:$C$100=F44), 0)) +
   IF(H44="是", 0.5, 0))</f>
        <v>2.5</v>
      </c>
      <c r="J44" s="7" t="s">
        <v>128</v>
      </c>
      <c r="K44" s="7">
        <v>8680603</v>
      </c>
      <c r="M44" s="7">
        <v>1</v>
      </c>
      <c r="N44" s="7">
        <v>1</v>
      </c>
      <c r="O44" s="11">
        <f t="shared" ref="O44:O51" si="2">M44/N44*I44</f>
        <v>2.5</v>
      </c>
    </row>
    <row r="45" spans="1:16" x14ac:dyDescent="0.3">
      <c r="A45" s="7">
        <v>44</v>
      </c>
      <c r="B45" s="8">
        <v>45783</v>
      </c>
      <c r="C45" s="7" t="s">
        <v>214</v>
      </c>
      <c r="D45" s="7" t="s">
        <v>53</v>
      </c>
      <c r="E45" s="7" t="s">
        <v>149</v>
      </c>
      <c r="F45" s="7" t="s">
        <v>135</v>
      </c>
      <c r="G45" s="7" t="s">
        <v>118</v>
      </c>
      <c r="H45" s="7" t="s">
        <v>29</v>
      </c>
      <c r="I45" s="7" cm="1">
        <f t="array" ref="I45">IF(OR(D45="", E45="", F45=""), "",
   INDEX(积分标准!$D$2:$D$100, MATCH(1,
       (积分标准!$A$2:$A$100=D45) *
       (积分标准!$B$2:$B$100=E45) *
       (积分标准!$C$2:$C$100=F45), 0)) +
   IF(H45="是", 0.5, 0))</f>
        <v>1.5</v>
      </c>
      <c r="J45" s="7" t="s">
        <v>129</v>
      </c>
      <c r="K45" s="7">
        <v>8683064</v>
      </c>
      <c r="M45" s="7">
        <v>1</v>
      </c>
      <c r="N45" s="7">
        <v>1</v>
      </c>
      <c r="O45" s="11">
        <f t="shared" si="2"/>
        <v>1.5</v>
      </c>
    </row>
    <row r="46" spans="1:16" x14ac:dyDescent="0.3">
      <c r="A46" s="7">
        <v>45</v>
      </c>
      <c r="B46" s="8">
        <v>45783</v>
      </c>
      <c r="C46" s="7" t="s">
        <v>88</v>
      </c>
      <c r="D46" s="7" t="s">
        <v>53</v>
      </c>
      <c r="E46" s="7" t="s">
        <v>149</v>
      </c>
      <c r="F46" s="7" t="s">
        <v>150</v>
      </c>
      <c r="G46" s="7" t="s">
        <v>119</v>
      </c>
      <c r="H46" s="7" t="s">
        <v>48</v>
      </c>
      <c r="I46" s="7" cm="1">
        <f t="array" ref="I46">IF(OR(D46="", E46="", F46=""), "",
   INDEX(积分标准!$D$2:$D$100, MATCH(1,
       (积分标准!$A$2:$A$100=D46) *
       (积分标准!$B$2:$B$100=E46) *
       (积分标准!$C$2:$C$100=F46), 0)) +
   IF(H46="是", 0.5, 0))</f>
        <v>2</v>
      </c>
      <c r="J46" s="7" t="s">
        <v>126</v>
      </c>
      <c r="K46" s="7">
        <v>8687765</v>
      </c>
      <c r="M46" s="7">
        <v>1</v>
      </c>
      <c r="N46" s="7">
        <v>1</v>
      </c>
      <c r="O46" s="11">
        <f t="shared" si="2"/>
        <v>2</v>
      </c>
    </row>
    <row r="47" spans="1:16" x14ac:dyDescent="0.3">
      <c r="A47" s="7">
        <v>46</v>
      </c>
      <c r="B47" s="8">
        <v>45783</v>
      </c>
      <c r="C47" s="7" t="s">
        <v>88</v>
      </c>
      <c r="D47" s="7" t="s">
        <v>53</v>
      </c>
      <c r="E47" s="7" t="s">
        <v>149</v>
      </c>
      <c r="F47" s="7" t="s">
        <v>135</v>
      </c>
      <c r="G47" s="7" t="s">
        <v>120</v>
      </c>
      <c r="H47" s="7" t="s">
        <v>48</v>
      </c>
      <c r="I47" s="7" cm="1">
        <f t="array" ref="I47">IF(OR(D47="", E47="", F47=""), "",
   INDEX(积分标准!$D$2:$D$100, MATCH(1,
       (积分标准!$A$2:$A$100=D47) *
       (积分标准!$B$2:$B$100=E47) *
       (积分标准!$C$2:$C$100=F47), 0)) +
   IF(H47="是", 0.5, 0))</f>
        <v>1</v>
      </c>
      <c r="J47" s="7" t="s">
        <v>126</v>
      </c>
      <c r="K47" s="7">
        <v>8687765</v>
      </c>
      <c r="M47" s="7">
        <v>1</v>
      </c>
      <c r="N47" s="7">
        <v>1</v>
      </c>
      <c r="O47" s="11">
        <f t="shared" si="2"/>
        <v>1</v>
      </c>
    </row>
    <row r="48" spans="1:16" x14ac:dyDescent="0.3">
      <c r="A48" s="7">
        <v>47</v>
      </c>
      <c r="B48" s="8">
        <v>45783</v>
      </c>
      <c r="C48" s="7" t="s">
        <v>88</v>
      </c>
      <c r="D48" s="7" t="s">
        <v>53</v>
      </c>
      <c r="E48" s="7" t="s">
        <v>149</v>
      </c>
      <c r="F48" s="7" t="s">
        <v>150</v>
      </c>
      <c r="G48" s="7" t="s">
        <v>121</v>
      </c>
      <c r="H48" s="7" t="s">
        <v>48</v>
      </c>
      <c r="I48" s="7" cm="1">
        <f t="array" ref="I48">IF(OR(D48="", E48="", F48=""), "",
   INDEX(积分标准!$D$2:$D$100, MATCH(1,
       (积分标准!$A$2:$A$100=D48) *
       (积分标准!$B$2:$B$100=E48) *
       (积分标准!$C$2:$C$100=F48), 0)) +
   IF(H48="是", 0.5, 0))</f>
        <v>2</v>
      </c>
      <c r="J48" s="7" t="s">
        <v>70</v>
      </c>
      <c r="K48" s="7">
        <v>8680291</v>
      </c>
      <c r="M48" s="7">
        <v>1</v>
      </c>
      <c r="N48" s="7">
        <v>1</v>
      </c>
      <c r="O48" s="11">
        <f t="shared" si="2"/>
        <v>2</v>
      </c>
    </row>
    <row r="49" spans="1:15" x14ac:dyDescent="0.3">
      <c r="A49" s="7">
        <v>48</v>
      </c>
      <c r="B49" s="8">
        <v>45783</v>
      </c>
      <c r="C49" s="7" t="s">
        <v>88</v>
      </c>
      <c r="D49" s="7" t="s">
        <v>53</v>
      </c>
      <c r="E49" s="7" t="s">
        <v>149</v>
      </c>
      <c r="F49" s="7" t="s">
        <v>135</v>
      </c>
      <c r="G49" s="7" t="s">
        <v>122</v>
      </c>
      <c r="H49" s="7" t="s">
        <v>48</v>
      </c>
      <c r="I49" s="7" cm="1">
        <f t="array" ref="I49">IF(OR(D49="", E49="", F49=""), "",
   INDEX(积分标准!$D$2:$D$100, MATCH(1,
       (积分标准!$A$2:$A$100=D49) *
       (积分标准!$B$2:$B$100=E49) *
       (积分标准!$C$2:$C$100=F49), 0)) +
   IF(H49="是", 0.5, 0))</f>
        <v>1</v>
      </c>
      <c r="J49" s="7" t="s">
        <v>70</v>
      </c>
      <c r="K49" s="7">
        <v>8680291</v>
      </c>
      <c r="M49" s="7">
        <v>1</v>
      </c>
      <c r="N49" s="7">
        <v>1</v>
      </c>
      <c r="O49" s="11">
        <f t="shared" si="2"/>
        <v>1</v>
      </c>
    </row>
    <row r="50" spans="1:15" x14ac:dyDescent="0.3">
      <c r="A50" s="7">
        <v>49</v>
      </c>
      <c r="B50" s="8">
        <v>45783</v>
      </c>
      <c r="C50" s="7" t="s">
        <v>55</v>
      </c>
      <c r="D50" s="7" t="s">
        <v>53</v>
      </c>
      <c r="E50" s="7" t="s">
        <v>149</v>
      </c>
      <c r="F50" s="7" t="s">
        <v>135</v>
      </c>
      <c r="G50" s="7" t="s">
        <v>123</v>
      </c>
      <c r="H50" s="7" t="s">
        <v>29</v>
      </c>
      <c r="I50" s="7" cm="1">
        <f t="array" ref="I50">IF(OR(D50="", E50="", F50=""), "",
   INDEX(积分标准!$D$2:$D$100, MATCH(1,
       (积分标准!$A$2:$A$100=D50) *
       (积分标准!$B$2:$B$100=E50) *
       (积分标准!$C$2:$C$100=F50), 0)) +
   IF(H50="是", 0.5, 0))</f>
        <v>1.5</v>
      </c>
      <c r="J50" s="7" t="s">
        <v>130</v>
      </c>
      <c r="K50" s="7">
        <v>8674034</v>
      </c>
      <c r="M50" s="7">
        <v>1</v>
      </c>
      <c r="N50" s="7">
        <v>1</v>
      </c>
      <c r="O50" s="11">
        <f t="shared" si="2"/>
        <v>1.5</v>
      </c>
    </row>
    <row r="51" spans="1:15" x14ac:dyDescent="0.3">
      <c r="A51" s="7">
        <v>50</v>
      </c>
      <c r="B51" s="8">
        <v>45783</v>
      </c>
      <c r="C51" s="7" t="s">
        <v>5</v>
      </c>
      <c r="D51" s="7" t="s">
        <v>53</v>
      </c>
      <c r="E51" s="7" t="s">
        <v>149</v>
      </c>
      <c r="F51" s="7" t="s">
        <v>150</v>
      </c>
      <c r="G51" s="7" t="s">
        <v>124</v>
      </c>
      <c r="H51" s="7" t="s">
        <v>29</v>
      </c>
      <c r="I51" s="7" cm="1">
        <f t="array" ref="I51">IF(OR(D51="", E51="", F51=""), "",
   INDEX(积分标准!$D$2:$D$100, MATCH(1,
       (积分标准!$A$2:$A$100=D51) *
       (积分标准!$B$2:$B$100=E51) *
       (积分标准!$C$2:$C$100=F51), 0)) +
   IF(H51="是", 0.5, 0))</f>
        <v>2.5</v>
      </c>
      <c r="J51" s="7" t="s">
        <v>59</v>
      </c>
      <c r="K51" s="7">
        <v>8675741</v>
      </c>
      <c r="M51" s="7">
        <v>1</v>
      </c>
      <c r="N51" s="7">
        <v>1</v>
      </c>
      <c r="O51" s="11">
        <f t="shared" si="2"/>
        <v>2.5</v>
      </c>
    </row>
    <row r="52" spans="1:15" x14ac:dyDescent="0.3">
      <c r="A52" s="7">
        <v>51</v>
      </c>
      <c r="B52" s="8">
        <v>45821</v>
      </c>
      <c r="C52" s="7" t="s">
        <v>214</v>
      </c>
      <c r="D52" s="7" t="s">
        <v>53</v>
      </c>
      <c r="E52" s="7" t="s">
        <v>181</v>
      </c>
      <c r="F52" s="7" t="s">
        <v>17</v>
      </c>
      <c r="G52" s="7" t="s">
        <v>182</v>
      </c>
      <c r="H52" s="7" t="s">
        <v>48</v>
      </c>
      <c r="I52" s="7" cm="1">
        <f t="array" ref="I52">IF(OR(D52="", E52="", F52=""), "",
   INDEX([1]积分标准!$D$2:$D$100, MATCH(1,
       ([1]积分标准!$A$2:$A$100=D52) *
       ([1]积分标准!$B$2:$B$100=E52) *
       ([1]积分标准!$C$2:$C$100=F52), 0)) +
   IF(H52="是", 0.5, 0))</f>
        <v>1.5</v>
      </c>
      <c r="J52" s="7" t="s">
        <v>183</v>
      </c>
      <c r="K52" s="7">
        <v>8676671</v>
      </c>
      <c r="L52" s="7" t="s">
        <v>184</v>
      </c>
      <c r="M52" s="7">
        <v>1</v>
      </c>
      <c r="N52" s="7">
        <v>1</v>
      </c>
      <c r="O52" s="11">
        <f t="shared" ref="O52:O67" si="3">M52/N52*I52</f>
        <v>1.5</v>
      </c>
    </row>
    <row r="53" spans="1:15" x14ac:dyDescent="0.3">
      <c r="A53" s="7">
        <v>52</v>
      </c>
      <c r="B53" s="8">
        <v>45821</v>
      </c>
      <c r="C53" s="7" t="s">
        <v>55</v>
      </c>
      <c r="D53" s="7" t="s">
        <v>53</v>
      </c>
      <c r="E53" s="7" t="s">
        <v>181</v>
      </c>
      <c r="F53" s="7" t="s">
        <v>17</v>
      </c>
      <c r="G53" s="7" t="s">
        <v>185</v>
      </c>
      <c r="H53" s="7" t="s">
        <v>48</v>
      </c>
      <c r="I53" s="7" cm="1">
        <f t="array" ref="I53">IF(OR(D53="", E53="", F53=""), "",
   INDEX([1]积分标准!$D$2:$D$100, MATCH(1,
       ([1]积分标准!$A$2:$A$100=D53) *
       ([1]积分标准!$B$2:$B$100=E53) *
       ([1]积分标准!$C$2:$C$100=F53), 0)) +
   IF(H53="是", 0.5, 0))</f>
        <v>1.5</v>
      </c>
      <c r="J53" s="7" t="s">
        <v>186</v>
      </c>
      <c r="K53" s="7">
        <v>8674014</v>
      </c>
      <c r="L53" s="7" t="s">
        <v>184</v>
      </c>
      <c r="M53" s="7">
        <v>1</v>
      </c>
      <c r="N53" s="7">
        <v>1</v>
      </c>
      <c r="O53" s="11">
        <f t="shared" si="3"/>
        <v>1.5</v>
      </c>
    </row>
    <row r="54" spans="1:15" x14ac:dyDescent="0.3">
      <c r="A54" s="7">
        <v>53</v>
      </c>
      <c r="B54" s="8">
        <v>45821</v>
      </c>
      <c r="C54" s="7" t="s">
        <v>52</v>
      </c>
      <c r="D54" s="7" t="s">
        <v>53</v>
      </c>
      <c r="E54" s="7" t="s">
        <v>181</v>
      </c>
      <c r="F54" s="7" t="s">
        <v>18</v>
      </c>
      <c r="G54" s="7" t="s">
        <v>187</v>
      </c>
      <c r="H54" s="7" t="s">
        <v>48</v>
      </c>
      <c r="I54" s="7" cm="1">
        <f t="array" ref="I54">IF(OR(D54="", E54="", F54=""), "",
   INDEX([1]积分标准!$D$2:$D$100, MATCH(1,
       ([1]积分标准!$A$2:$A$100=D54) *
       ([1]积分标准!$B$2:$B$100=E54) *
       ([1]积分标准!$C$2:$C$100=F54), 0)) +
   IF(H54="是", 0.5, 0))</f>
        <v>1</v>
      </c>
      <c r="J54" s="7" t="s">
        <v>188</v>
      </c>
      <c r="K54" s="7">
        <v>8613616</v>
      </c>
      <c r="L54" s="7" t="s">
        <v>184</v>
      </c>
      <c r="M54" s="7">
        <v>1</v>
      </c>
      <c r="N54" s="7">
        <v>1</v>
      </c>
      <c r="O54" s="11">
        <f t="shared" si="3"/>
        <v>1</v>
      </c>
    </row>
    <row r="55" spans="1:15" x14ac:dyDescent="0.3">
      <c r="A55" s="7">
        <v>54</v>
      </c>
      <c r="B55" s="8">
        <v>45821</v>
      </c>
      <c r="C55" s="7" t="s">
        <v>55</v>
      </c>
      <c r="D55" s="7" t="s">
        <v>53</v>
      </c>
      <c r="E55" s="7" t="s">
        <v>181</v>
      </c>
      <c r="F55" s="7" t="s">
        <v>18</v>
      </c>
      <c r="G55" s="7" t="s">
        <v>189</v>
      </c>
      <c r="H55" s="7" t="s">
        <v>48</v>
      </c>
      <c r="I55" s="7" cm="1">
        <f t="array" ref="I55">IF(OR(D55="", E55="", F55=""), "",
   INDEX([1]积分标准!$D$2:$D$100, MATCH(1,
       ([1]积分标准!$A$2:$A$100=D55) *
       ([1]积分标准!$B$2:$B$100=E55) *
       ([1]积分标准!$C$2:$C$100=F55), 0)) +
   IF(H55="是", 0.5, 0))</f>
        <v>1</v>
      </c>
      <c r="J55" s="7" t="s">
        <v>190</v>
      </c>
      <c r="K55" s="7">
        <v>8630191</v>
      </c>
      <c r="L55" s="7" t="s">
        <v>184</v>
      </c>
      <c r="M55" s="7">
        <v>1</v>
      </c>
      <c r="N55" s="7">
        <v>1</v>
      </c>
      <c r="O55" s="11">
        <f t="shared" si="3"/>
        <v>1</v>
      </c>
    </row>
    <row r="56" spans="1:15" x14ac:dyDescent="0.3">
      <c r="A56" s="7">
        <v>55</v>
      </c>
      <c r="B56" s="8">
        <v>45821</v>
      </c>
      <c r="C56" s="7" t="s">
        <v>212</v>
      </c>
      <c r="D56" s="7" t="s">
        <v>53</v>
      </c>
      <c r="E56" s="7" t="s">
        <v>181</v>
      </c>
      <c r="F56" s="7" t="s">
        <v>18</v>
      </c>
      <c r="G56" s="7" t="s">
        <v>191</v>
      </c>
      <c r="H56" s="7" t="s">
        <v>48</v>
      </c>
      <c r="I56" s="7" cm="1">
        <f t="array" ref="I56">IF(OR(D56="", E56="", F56=""), "",
   INDEX([1]积分标准!$D$2:$D$100, MATCH(1,
       ([1]积分标准!$A$2:$A$100=D56) *
       ([1]积分标准!$B$2:$B$100=E56) *
       ([1]积分标准!$C$2:$C$100=F56), 0)) +
   IF(H56="是", 0.5, 0))</f>
        <v>1</v>
      </c>
      <c r="J56" s="7" t="s">
        <v>192</v>
      </c>
      <c r="K56" s="7">
        <v>8614408</v>
      </c>
      <c r="L56" s="7" t="s">
        <v>184</v>
      </c>
      <c r="M56" s="7">
        <v>1</v>
      </c>
      <c r="N56" s="7">
        <v>1</v>
      </c>
      <c r="O56" s="11">
        <f t="shared" si="3"/>
        <v>1</v>
      </c>
    </row>
    <row r="57" spans="1:15" x14ac:dyDescent="0.3">
      <c r="A57" s="7">
        <v>56</v>
      </c>
      <c r="B57" s="8">
        <v>45821</v>
      </c>
      <c r="C57" s="7" t="s">
        <v>220</v>
      </c>
      <c r="D57" s="7" t="s">
        <v>53</v>
      </c>
      <c r="E57" s="7" t="s">
        <v>181</v>
      </c>
      <c r="F57" s="7" t="s">
        <v>18</v>
      </c>
      <c r="G57" s="7" t="s">
        <v>193</v>
      </c>
      <c r="H57" s="7" t="s">
        <v>48</v>
      </c>
      <c r="I57" s="7" cm="1">
        <f t="array" ref="I57">IF(OR(D57="", E57="", F57=""), "",
   INDEX([1]积分标准!$D$2:$D$100, MATCH(1,
       ([1]积分标准!$A$2:$A$100=D57) *
       ([1]积分标准!$B$2:$B$100=E57) *
       ([1]积分标准!$C$2:$C$100=F57), 0)) +
   IF(H57="是", 0.5, 0))</f>
        <v>1</v>
      </c>
      <c r="J57" s="7" t="s">
        <v>194</v>
      </c>
      <c r="K57" s="7">
        <v>8721934</v>
      </c>
      <c r="L57" s="7" t="s">
        <v>184</v>
      </c>
      <c r="M57" s="7">
        <v>1</v>
      </c>
      <c r="N57" s="7">
        <v>1</v>
      </c>
      <c r="O57" s="11">
        <f t="shared" si="3"/>
        <v>1</v>
      </c>
    </row>
    <row r="58" spans="1:15" x14ac:dyDescent="0.3">
      <c r="A58" s="7">
        <v>57</v>
      </c>
      <c r="B58" s="8">
        <v>45821</v>
      </c>
      <c r="C58" s="7" t="s">
        <v>0</v>
      </c>
      <c r="D58" s="7" t="s">
        <v>53</v>
      </c>
      <c r="E58" s="7" t="s">
        <v>181</v>
      </c>
      <c r="F58" s="7" t="s">
        <v>19</v>
      </c>
      <c r="G58" s="7" t="s">
        <v>195</v>
      </c>
      <c r="H58" s="7" t="s">
        <v>48</v>
      </c>
      <c r="I58" s="7" cm="1">
        <f t="array" ref="I58">IF(OR(D58="", E58="", F58=""), "",
   INDEX([1]积分标准!$D$2:$D$100, MATCH(1,
       ([1]积分标准!$A$2:$A$100=D58) *
       ([1]积分标准!$B$2:$B$100=E58) *
       ([1]积分标准!$C$2:$C$100=F58), 0)) +
   IF(H58="是", 0.5, 0))</f>
        <v>0.5</v>
      </c>
      <c r="J58" s="7" t="s">
        <v>196</v>
      </c>
      <c r="K58" s="7">
        <v>8676584</v>
      </c>
      <c r="L58" s="7" t="s">
        <v>184</v>
      </c>
      <c r="M58" s="7">
        <v>1</v>
      </c>
      <c r="N58" s="7">
        <v>1</v>
      </c>
      <c r="O58" s="11">
        <f t="shared" si="3"/>
        <v>0.5</v>
      </c>
    </row>
    <row r="59" spans="1:15" x14ac:dyDescent="0.3">
      <c r="A59" s="7">
        <v>58</v>
      </c>
      <c r="B59" s="8">
        <v>45821</v>
      </c>
      <c r="C59" s="7" t="s">
        <v>3</v>
      </c>
      <c r="D59" s="7" t="s">
        <v>53</v>
      </c>
      <c r="E59" s="7" t="s">
        <v>181</v>
      </c>
      <c r="F59" s="7" t="s">
        <v>19</v>
      </c>
      <c r="G59" s="7" t="s">
        <v>197</v>
      </c>
      <c r="H59" s="7" t="s">
        <v>48</v>
      </c>
      <c r="I59" s="7" cm="1">
        <f t="array" ref="I59">IF(OR(D59="", E59="", F59=""), "",
   INDEX([1]积分标准!$D$2:$D$100, MATCH(1,
       ([1]积分标准!$A$2:$A$100=D59) *
       ([1]积分标准!$B$2:$B$100=E59) *
       ([1]积分标准!$C$2:$C$100=F59), 0)) +
   IF(H59="是", 0.5, 0))</f>
        <v>0.5</v>
      </c>
      <c r="J59" s="7" t="s">
        <v>198</v>
      </c>
      <c r="K59" s="7">
        <v>8674015</v>
      </c>
      <c r="L59" s="7" t="s">
        <v>184</v>
      </c>
      <c r="M59" s="7">
        <v>1</v>
      </c>
      <c r="N59" s="7">
        <v>1</v>
      </c>
      <c r="O59" s="11">
        <f t="shared" si="3"/>
        <v>0.5</v>
      </c>
    </row>
    <row r="60" spans="1:15" x14ac:dyDescent="0.3">
      <c r="A60" s="7">
        <v>59</v>
      </c>
      <c r="B60" s="8">
        <v>45821</v>
      </c>
      <c r="C60" s="7" t="s">
        <v>5</v>
      </c>
      <c r="D60" s="7" t="s">
        <v>53</v>
      </c>
      <c r="E60" s="7" t="s">
        <v>181</v>
      </c>
      <c r="F60" s="7" t="s">
        <v>19</v>
      </c>
      <c r="G60" s="7" t="s">
        <v>199</v>
      </c>
      <c r="H60" s="7" t="s">
        <v>48</v>
      </c>
      <c r="I60" s="7" cm="1">
        <f t="array" ref="I60">IF(OR(D60="", E60="", F60=""), "",
   INDEX([1]积分标准!$D$2:$D$100, MATCH(1,
       ([1]积分标准!$A$2:$A$100=D60) *
       ([1]积分标准!$B$2:$B$100=E60) *
       ([1]积分标准!$C$2:$C$100=F60), 0)) +
   IF(H60="是", 0.5, 0))</f>
        <v>0.5</v>
      </c>
      <c r="J60" s="7" t="s">
        <v>60</v>
      </c>
      <c r="K60" s="7">
        <v>8684029</v>
      </c>
      <c r="L60" s="7" t="s">
        <v>184</v>
      </c>
      <c r="M60" s="7">
        <v>1</v>
      </c>
      <c r="N60" s="7">
        <v>1</v>
      </c>
      <c r="O60" s="11">
        <f t="shared" si="3"/>
        <v>0.5</v>
      </c>
    </row>
    <row r="61" spans="1:15" x14ac:dyDescent="0.3">
      <c r="A61" s="7">
        <v>60</v>
      </c>
      <c r="B61" s="8">
        <v>45821</v>
      </c>
      <c r="C61" s="7" t="s">
        <v>214</v>
      </c>
      <c r="D61" s="7" t="s">
        <v>53</v>
      </c>
      <c r="E61" s="7" t="s">
        <v>181</v>
      </c>
      <c r="F61" s="7" t="s">
        <v>19</v>
      </c>
      <c r="G61" s="7" t="s">
        <v>200</v>
      </c>
      <c r="H61" s="7" t="s">
        <v>48</v>
      </c>
      <c r="I61" s="7" cm="1">
        <f t="array" ref="I61">IF(OR(D61="", E61="", F61=""), "",
   INDEX([1]积分标准!$D$2:$D$100, MATCH(1,
       ([1]积分标准!$A$2:$A$100=D61) *
       ([1]积分标准!$B$2:$B$100=E61) *
       ([1]积分标准!$C$2:$C$100=F61), 0)) +
   IF(H61="是", 0.5, 0))</f>
        <v>0.5</v>
      </c>
      <c r="J61" s="7" t="s">
        <v>201</v>
      </c>
      <c r="K61" s="7">
        <v>8681396</v>
      </c>
      <c r="L61" s="7" t="s">
        <v>184</v>
      </c>
      <c r="M61" s="7">
        <v>1</v>
      </c>
      <c r="N61" s="7">
        <v>1</v>
      </c>
      <c r="O61" s="11">
        <f t="shared" si="3"/>
        <v>0.5</v>
      </c>
    </row>
    <row r="62" spans="1:15" x14ac:dyDescent="0.3">
      <c r="A62" s="7">
        <v>61</v>
      </c>
      <c r="B62" s="8">
        <v>45821</v>
      </c>
      <c r="C62" s="7" t="s">
        <v>214</v>
      </c>
      <c r="D62" s="7" t="s">
        <v>53</v>
      </c>
      <c r="E62" s="7" t="s">
        <v>181</v>
      </c>
      <c r="F62" s="7" t="s">
        <v>19</v>
      </c>
      <c r="G62" s="7" t="s">
        <v>202</v>
      </c>
      <c r="H62" s="7" t="s">
        <v>48</v>
      </c>
      <c r="I62" s="7" cm="1">
        <f t="array" ref="I62">IF(OR(D62="", E62="", F62=""), "",
   INDEX([1]积分标准!$D$2:$D$100, MATCH(1,
       ([1]积分标准!$A$2:$A$100=D62) *
       ([1]积分标准!$B$2:$B$100=E62) *
       ([1]积分标准!$C$2:$C$100=F62), 0)) +
   IF(H62="是", 0.5, 0))</f>
        <v>0.5</v>
      </c>
      <c r="J62" s="7" t="s">
        <v>203</v>
      </c>
      <c r="K62" s="7">
        <v>8681031</v>
      </c>
      <c r="L62" s="7" t="s">
        <v>184</v>
      </c>
      <c r="M62" s="7">
        <v>1</v>
      </c>
      <c r="N62" s="7">
        <v>1</v>
      </c>
      <c r="O62" s="11">
        <f t="shared" si="3"/>
        <v>0.5</v>
      </c>
    </row>
    <row r="63" spans="1:15" x14ac:dyDescent="0.3">
      <c r="A63" s="7">
        <v>62</v>
      </c>
      <c r="B63" s="8">
        <v>45821</v>
      </c>
      <c r="C63" s="7" t="s">
        <v>212</v>
      </c>
      <c r="D63" s="7" t="s">
        <v>53</v>
      </c>
      <c r="E63" s="7" t="s">
        <v>181</v>
      </c>
      <c r="F63" s="7" t="s">
        <v>19</v>
      </c>
      <c r="G63" s="7" t="s">
        <v>204</v>
      </c>
      <c r="H63" s="7" t="s">
        <v>48</v>
      </c>
      <c r="I63" s="7" cm="1">
        <f t="array" ref="I63">IF(OR(D63="", E63="", F63=""), "",
   INDEX([1]积分标准!$D$2:$D$100, MATCH(1,
       ([1]积分标准!$A$2:$A$100=D63) *
       ([1]积分标准!$B$2:$B$100=E63) *
       ([1]积分标准!$C$2:$C$100=F63), 0)) +
   IF(H63="是", 0.5, 0))</f>
        <v>0.5</v>
      </c>
      <c r="J63" s="7" t="s">
        <v>205</v>
      </c>
      <c r="K63" s="7">
        <v>8613394</v>
      </c>
      <c r="L63" s="7" t="s">
        <v>184</v>
      </c>
      <c r="M63" s="7">
        <v>1</v>
      </c>
      <c r="N63" s="7">
        <v>1</v>
      </c>
      <c r="O63" s="11">
        <f t="shared" si="3"/>
        <v>0.5</v>
      </c>
    </row>
    <row r="64" spans="1:15" x14ac:dyDescent="0.3">
      <c r="A64" s="7">
        <v>63</v>
      </c>
      <c r="B64" s="8">
        <v>45748</v>
      </c>
      <c r="C64" s="7" t="s">
        <v>88</v>
      </c>
      <c r="D64" s="7" t="s">
        <v>103</v>
      </c>
      <c r="E64" s="7" t="s">
        <v>136</v>
      </c>
      <c r="F64" s="7" t="s">
        <v>17</v>
      </c>
      <c r="G64" s="7" t="s">
        <v>206</v>
      </c>
      <c r="H64" s="7" t="s">
        <v>48</v>
      </c>
      <c r="I64" s="7" cm="1">
        <f t="array" ref="I64">IF(OR(D64="", E64="", F64=""), "",
   INDEX([1]积分标准!$D$2:$D$100, MATCH(1,
       ([1]积分标准!$A$2:$A$100=D64) *
       ([1]积分标准!$B$2:$B$100=E64) *
       ([1]积分标准!$C$2:$C$100=F64), 0)) +
   IF(H64="是", 0.5, 0))</f>
        <v>5</v>
      </c>
      <c r="J64" s="7" t="s">
        <v>207</v>
      </c>
      <c r="K64" s="7">
        <v>8698876</v>
      </c>
      <c r="L64" s="7" t="s">
        <v>208</v>
      </c>
      <c r="M64" s="7">
        <v>0.5</v>
      </c>
      <c r="N64" s="7">
        <v>1</v>
      </c>
      <c r="O64" s="11">
        <f t="shared" si="3"/>
        <v>2.5</v>
      </c>
    </row>
    <row r="65" spans="1:15" x14ac:dyDescent="0.3">
      <c r="A65" s="7">
        <v>64</v>
      </c>
      <c r="B65" s="8">
        <v>45748</v>
      </c>
      <c r="C65" s="7" t="s">
        <v>88</v>
      </c>
      <c r="D65" s="7" t="s">
        <v>103</v>
      </c>
      <c r="E65" s="7" t="s">
        <v>136</v>
      </c>
      <c r="F65" s="7" t="s">
        <v>17</v>
      </c>
      <c r="G65" s="7" t="s">
        <v>206</v>
      </c>
      <c r="H65" s="7" t="s">
        <v>48</v>
      </c>
      <c r="I65" s="7" cm="1">
        <f t="array" ref="I65">IF(OR(D65="", E65="", F65=""), "",
   INDEX([1]积分标准!$D$2:$D$100, MATCH(1,
       ([1]积分标准!$A$2:$A$100=D65) *
       ([1]积分标准!$B$2:$B$100=E65) *
       ([1]积分标准!$C$2:$C$100=F65), 0)) +
   IF(H65="是", 0.5, 0))</f>
        <v>5</v>
      </c>
      <c r="J65" s="7" t="s">
        <v>209</v>
      </c>
      <c r="K65" s="7">
        <v>8687765</v>
      </c>
      <c r="L65" s="7" t="s">
        <v>208</v>
      </c>
      <c r="M65" s="7">
        <v>0.5</v>
      </c>
      <c r="N65" s="7">
        <v>1</v>
      </c>
      <c r="O65" s="11">
        <f t="shared" si="3"/>
        <v>2.5</v>
      </c>
    </row>
    <row r="66" spans="1:15" x14ac:dyDescent="0.3">
      <c r="A66" s="7">
        <v>65</v>
      </c>
      <c r="B66" s="8">
        <v>45741</v>
      </c>
      <c r="C66" s="7" t="s">
        <v>55</v>
      </c>
      <c r="D66" s="7" t="s">
        <v>103</v>
      </c>
      <c r="E66" s="7" t="s">
        <v>136</v>
      </c>
      <c r="F66" s="7" t="s">
        <v>18</v>
      </c>
      <c r="H66" s="7" t="s">
        <v>48</v>
      </c>
      <c r="I66" s="7" cm="1">
        <f t="array" ref="I66">IF(OR(D66="", E66="", F66=""), "",
   INDEX([1]积分标准!$D$2:$D$100, MATCH(1,
       ([1]积分标准!$A$2:$A$100=D66) *
       ([1]积分标准!$B$2:$B$100=E66) *
       ([1]积分标准!$C$2:$C$100=F66), 0)) +
   IF(H66="是", 0.5, 0))</f>
        <v>4</v>
      </c>
      <c r="J66" s="7" t="s">
        <v>65</v>
      </c>
      <c r="K66" s="7">
        <v>8699083</v>
      </c>
      <c r="L66" s="7" t="s">
        <v>180</v>
      </c>
      <c r="M66" s="7">
        <v>1</v>
      </c>
      <c r="N66" s="7">
        <v>1</v>
      </c>
      <c r="O66" s="11">
        <f>M66/N66*I66</f>
        <v>4</v>
      </c>
    </row>
    <row r="67" spans="1:15" x14ac:dyDescent="0.3">
      <c r="A67" s="7">
        <v>66</v>
      </c>
      <c r="B67" s="8">
        <v>45821</v>
      </c>
      <c r="C67" s="7" t="s">
        <v>3</v>
      </c>
      <c r="D67" s="7" t="s">
        <v>103</v>
      </c>
      <c r="E67" s="7" t="s">
        <v>136</v>
      </c>
      <c r="F67" s="7" t="s">
        <v>18</v>
      </c>
      <c r="G67" s="31"/>
      <c r="H67" s="7" t="s">
        <v>48</v>
      </c>
      <c r="I67" s="7" cm="1">
        <f t="array" ref="I67">IF(OR(D67="", E67="", F67=""), "",
   INDEX([1]积分标准!$D$2:$D$100, MATCH(1,
       ([1]积分标准!$A$2:$A$100=D67) *
       ([1]积分标准!$B$2:$B$100=E67) *
       ([1]积分标准!$C$2:$C$100=F67), 0)) +
   IF(H67="是", 0.5, 0))</f>
        <v>4</v>
      </c>
      <c r="J67" s="7" t="s">
        <v>210</v>
      </c>
      <c r="K67" s="7">
        <v>8613261</v>
      </c>
      <c r="L67" s="7" t="s">
        <v>211</v>
      </c>
      <c r="M67" s="7">
        <v>1</v>
      </c>
      <c r="N67" s="7">
        <v>1</v>
      </c>
      <c r="O67" s="11">
        <f t="shared" si="3"/>
        <v>4</v>
      </c>
    </row>
    <row r="68" spans="1:15" x14ac:dyDescent="0.3">
      <c r="A68" s="7">
        <v>67</v>
      </c>
      <c r="B68" s="8">
        <v>45809</v>
      </c>
      <c r="C68" s="7" t="s">
        <v>55</v>
      </c>
      <c r="D68" s="7" t="s">
        <v>103</v>
      </c>
      <c r="E68" s="7" t="s">
        <v>104</v>
      </c>
      <c r="F68" s="7" t="s">
        <v>18</v>
      </c>
      <c r="H68" s="7" t="s">
        <v>48</v>
      </c>
      <c r="I68" s="7" cm="1">
        <f t="array" ref="I68">IF(OR(D68="", E68="", F68=""), "",
   INDEX(积分标准!$D$2:$D$100, MATCH(1,
       (积分标准!$A$2:$A$100=D68) *
       (积分标准!$B$2:$B$100=E68) *
       (积分标准!$C$2:$C$100=F68), 0)) +
   IF(H68="是", 0.5, 0))</f>
        <v>2</v>
      </c>
      <c r="J68" s="7" t="s">
        <v>223</v>
      </c>
      <c r="K68" s="7">
        <v>8630191</v>
      </c>
      <c r="L68" s="7" t="s">
        <v>225</v>
      </c>
      <c r="M68" s="7">
        <v>1</v>
      </c>
      <c r="N68" s="7">
        <v>1</v>
      </c>
      <c r="O68" s="11">
        <f t="shared" ref="O68:O69" si="4">M68/N68*I68</f>
        <v>2</v>
      </c>
    </row>
    <row r="69" spans="1:15" x14ac:dyDescent="0.3">
      <c r="A69" s="7">
        <v>68</v>
      </c>
      <c r="B69" s="8">
        <v>45809</v>
      </c>
      <c r="C69" s="7" t="s">
        <v>87</v>
      </c>
      <c r="D69" s="7" t="s">
        <v>103</v>
      </c>
      <c r="E69" s="7" t="s">
        <v>104</v>
      </c>
      <c r="F69" s="7" t="s">
        <v>19</v>
      </c>
      <c r="H69" s="7" t="s">
        <v>48</v>
      </c>
      <c r="I69" s="7" cm="1">
        <f t="array" ref="I69">IF(OR(D69="", E69="", F69=""), "",
   INDEX(积分标准!$D$2:$D$100, MATCH(1,
       (积分标准!$A$2:$A$100=D69) *
       (积分标准!$B$2:$B$100=E69) *
       (积分标准!$C$2:$C$100=F69), 0)) +
   IF(H69="是", 0.5, 0))</f>
        <v>1</v>
      </c>
      <c r="J69" s="7" t="s">
        <v>224</v>
      </c>
      <c r="K69" s="7">
        <v>8676593</v>
      </c>
      <c r="L69" s="7" t="s">
        <v>226</v>
      </c>
      <c r="M69" s="7">
        <v>1</v>
      </c>
      <c r="N69" s="7">
        <v>1</v>
      </c>
      <c r="O69" s="11">
        <f t="shared" si="4"/>
        <v>1</v>
      </c>
    </row>
    <row r="70" spans="1:15" x14ac:dyDescent="0.3">
      <c r="A70" s="7">
        <v>69</v>
      </c>
      <c r="B70" s="8">
        <v>45839</v>
      </c>
      <c r="C70" s="7" t="s">
        <v>88</v>
      </c>
      <c r="D70" s="7" t="s">
        <v>103</v>
      </c>
      <c r="E70" s="7" t="s">
        <v>104</v>
      </c>
      <c r="F70" s="7" t="s">
        <v>18</v>
      </c>
      <c r="H70" s="7" t="s">
        <v>29</v>
      </c>
      <c r="I70" s="7" cm="1">
        <f t="array" ref="I70">IF(OR(D70="", E70="", F70=""), "",
   INDEX(积分标准!$D$2:$D$100, MATCH(1,
       (积分标准!$A$2:$A$100=D70) *
       (积分标准!$B$2:$B$100=E70) *
       (积分标准!$C$2:$C$100=F70), 0)) +
   IF(H70="是", 0.5, 0))</f>
        <v>2.5</v>
      </c>
      <c r="J70" s="7" t="s">
        <v>1721</v>
      </c>
      <c r="K70" s="7">
        <v>8722495</v>
      </c>
      <c r="L70" s="7" t="s">
        <v>1722</v>
      </c>
      <c r="M70" s="7">
        <v>1</v>
      </c>
      <c r="N70" s="7">
        <v>1</v>
      </c>
      <c r="O70" s="11">
        <f t="shared" ref="O70" si="5">M70/N70*I70</f>
        <v>2.5</v>
      </c>
    </row>
    <row r="71" spans="1:15" x14ac:dyDescent="0.3">
      <c r="A71" s="7">
        <v>70</v>
      </c>
      <c r="B71" s="8">
        <v>45870</v>
      </c>
      <c r="C71" s="7" t="s">
        <v>212</v>
      </c>
      <c r="D71" s="7" t="s">
        <v>53</v>
      </c>
      <c r="E71" s="7" t="s">
        <v>149</v>
      </c>
      <c r="F71" s="7" t="s">
        <v>135</v>
      </c>
      <c r="G71" s="7" t="s">
        <v>1699</v>
      </c>
      <c r="H71" s="7" t="s">
        <v>48</v>
      </c>
      <c r="I71" s="7" cm="1">
        <f t="array" ref="I71">IF(OR(D71="", E71="", F71=""), "",
   INDEX(积分标准!$D$2:$D$100, MATCH(1,
       (积分标准!$A$2:$A$100=D71) *
       (积分标准!$B$2:$B$100=E71) *
       (积分标准!$C$2:$C$100=F71), 0)) +
   IF(H71="是", 0.5, 0))</f>
        <v>1</v>
      </c>
      <c r="J71" s="7" t="s">
        <v>63</v>
      </c>
      <c r="K71" s="7">
        <v>8676591</v>
      </c>
      <c r="M71" s="7">
        <v>1</v>
      </c>
      <c r="N71" s="7">
        <v>1</v>
      </c>
      <c r="O71" s="11">
        <f t="shared" ref="O71:O74" si="6">M71/N71*I71</f>
        <v>1</v>
      </c>
    </row>
    <row r="72" spans="1:15" x14ac:dyDescent="0.3">
      <c r="A72" s="7">
        <v>71</v>
      </c>
      <c r="B72" s="8">
        <v>45870</v>
      </c>
      <c r="C72" s="7" t="s">
        <v>86</v>
      </c>
      <c r="D72" s="7" t="s">
        <v>53</v>
      </c>
      <c r="E72" s="7" t="s">
        <v>149</v>
      </c>
      <c r="F72" s="7" t="s">
        <v>135</v>
      </c>
      <c r="G72" s="7" t="s">
        <v>1700</v>
      </c>
      <c r="H72" s="7" t="s">
        <v>29</v>
      </c>
      <c r="I72" s="7" cm="1">
        <f t="array" ref="I72">IF(OR(D72="", E72="", F72=""), "",
   INDEX(积分标准!$D$2:$D$100, MATCH(1,
       (积分标准!$A$2:$A$100=D72) *
       (积分标准!$B$2:$B$100=E72) *
       (积分标准!$C$2:$C$100=F72), 0)) +
   IF(H72="是", 0.5, 0))</f>
        <v>1.5</v>
      </c>
      <c r="J72" s="7" t="s">
        <v>1703</v>
      </c>
      <c r="K72" s="7">
        <v>8684029</v>
      </c>
      <c r="M72" s="7">
        <v>1</v>
      </c>
      <c r="N72" s="7">
        <v>1</v>
      </c>
      <c r="O72" s="11">
        <f t="shared" si="6"/>
        <v>1.5</v>
      </c>
    </row>
    <row r="73" spans="1:15" x14ac:dyDescent="0.3">
      <c r="A73" s="7">
        <v>72</v>
      </c>
      <c r="B73" s="8">
        <v>45870</v>
      </c>
      <c r="C73" s="7" t="s">
        <v>88</v>
      </c>
      <c r="D73" s="7" t="s">
        <v>53</v>
      </c>
      <c r="E73" s="7" t="s">
        <v>149</v>
      </c>
      <c r="F73" s="7" t="s">
        <v>135</v>
      </c>
      <c r="G73" s="7" t="s">
        <v>1701</v>
      </c>
      <c r="H73" s="7" t="s">
        <v>48</v>
      </c>
      <c r="I73" s="7" cm="1">
        <f t="array" ref="I73">IF(OR(D73="", E73="", F73=""), "",
   INDEX(积分标准!$D$2:$D$100, MATCH(1,
       (积分标准!$A$2:$A$100=D73) *
       (积分标准!$B$2:$B$100=E73) *
       (积分标准!$C$2:$C$100=F73), 0)) +
   IF(H73="是", 0.5, 0))</f>
        <v>1</v>
      </c>
      <c r="J73" s="7" t="s">
        <v>1704</v>
      </c>
      <c r="K73" s="7">
        <v>8680291</v>
      </c>
      <c r="M73" s="7">
        <v>1</v>
      </c>
      <c r="N73" s="7">
        <v>1</v>
      </c>
      <c r="O73" s="11">
        <f t="shared" si="6"/>
        <v>1</v>
      </c>
    </row>
    <row r="74" spans="1:15" x14ac:dyDescent="0.3">
      <c r="A74" s="7">
        <v>73</v>
      </c>
      <c r="B74" s="8">
        <v>45870</v>
      </c>
      <c r="C74" s="7" t="s">
        <v>214</v>
      </c>
      <c r="D74" s="7" t="s">
        <v>53</v>
      </c>
      <c r="E74" s="7" t="s">
        <v>149</v>
      </c>
      <c r="F74" s="7" t="s">
        <v>135</v>
      </c>
      <c r="G74" s="7" t="s">
        <v>1702</v>
      </c>
      <c r="H74" s="7" t="s">
        <v>48</v>
      </c>
      <c r="I74" s="7" cm="1">
        <f t="array" ref="I74">IF(OR(D74="", E74="", F74=""), "",
   INDEX(积分标准!$D$2:$D$100, MATCH(1,
       (积分标准!$A$2:$A$100=D74) *
       (积分标准!$B$2:$B$100=E74) *
       (积分标准!$C$2:$C$100=F74), 0)) +
   IF(H74="是", 0.5, 0))</f>
        <v>1</v>
      </c>
      <c r="J74" s="7" t="s">
        <v>1705</v>
      </c>
      <c r="K74" s="7">
        <v>8681396</v>
      </c>
      <c r="M74" s="7">
        <v>1</v>
      </c>
      <c r="N74" s="7">
        <v>1</v>
      </c>
      <c r="O74" s="11">
        <f t="shared" si="6"/>
        <v>1</v>
      </c>
    </row>
    <row r="75" spans="1:15" x14ac:dyDescent="0.3">
      <c r="A75" s="7">
        <v>74</v>
      </c>
      <c r="B75" s="8">
        <v>45870</v>
      </c>
      <c r="C75" s="7" t="s">
        <v>216</v>
      </c>
      <c r="D75" s="7" t="s">
        <v>53</v>
      </c>
      <c r="E75" s="7" t="s">
        <v>149</v>
      </c>
      <c r="F75" s="7" t="s">
        <v>150</v>
      </c>
      <c r="G75" s="7" t="s">
        <v>1706</v>
      </c>
      <c r="H75" s="7" t="s">
        <v>29</v>
      </c>
      <c r="I75" s="7" cm="1">
        <f t="array" ref="I75">IF(OR(D75="", E75="", F75=""), "",
   INDEX(积分标准!$D$2:$D$100, MATCH(1,
       (积分标准!$A$2:$A$100=D75) *
       (积分标准!$B$2:$B$100=E75) *
       (积分标准!$C$2:$C$100=F75), 0)) +
   IF(H75="是", 0.5, 0))</f>
        <v>2.5</v>
      </c>
      <c r="J75" s="7" t="s">
        <v>127</v>
      </c>
      <c r="K75" s="7">
        <v>8682839</v>
      </c>
      <c r="M75" s="7">
        <v>1</v>
      </c>
      <c r="N75" s="7">
        <v>1</v>
      </c>
      <c r="O75" s="11">
        <f>M75/N75*I75</f>
        <v>2.5</v>
      </c>
    </row>
    <row r="76" spans="1:15" x14ac:dyDescent="0.3">
      <c r="A76" s="7">
        <v>75</v>
      </c>
      <c r="B76" s="8">
        <v>45870</v>
      </c>
      <c r="C76" s="7" t="s">
        <v>52</v>
      </c>
      <c r="D76" s="7" t="s">
        <v>53</v>
      </c>
      <c r="E76" s="7" t="s">
        <v>149</v>
      </c>
      <c r="F76" s="7" t="s">
        <v>1709</v>
      </c>
      <c r="G76" s="7" t="s">
        <v>1707</v>
      </c>
      <c r="H76" s="7" t="s">
        <v>29</v>
      </c>
      <c r="I76" s="7" cm="1">
        <f t="array" ref="I76">IF(OR(D76="", E76="", F76=""), "",
   INDEX(积分标准!$D$2:$D$100, MATCH(1,
       (积分标准!$A$2:$A$100=D76) *
       (积分标准!$B$2:$B$100=E76) *
       (积分标准!$C$2:$C$100=F76), 0)) +
   IF(H76="是", 0.5, 0))</f>
        <v>2.5</v>
      </c>
      <c r="J76" s="7" t="s">
        <v>1708</v>
      </c>
      <c r="K76" s="7">
        <v>8683928</v>
      </c>
      <c r="M76" s="7">
        <v>1</v>
      </c>
      <c r="N76" s="7">
        <v>1</v>
      </c>
      <c r="O76" s="11">
        <f t="shared" ref="O76" si="7">M76/N76*I76</f>
        <v>2.5</v>
      </c>
    </row>
    <row r="77" spans="1:15" x14ac:dyDescent="0.3">
      <c r="A77" s="7">
        <v>76</v>
      </c>
      <c r="B77" s="8">
        <v>45839</v>
      </c>
      <c r="C77" s="7" t="s">
        <v>140</v>
      </c>
      <c r="D77" s="7" t="s">
        <v>103</v>
      </c>
      <c r="E77" s="7" t="s">
        <v>1710</v>
      </c>
      <c r="F77" s="7" t="s">
        <v>1711</v>
      </c>
      <c r="G77" s="7" t="s">
        <v>1712</v>
      </c>
      <c r="H77" s="7" t="s">
        <v>29</v>
      </c>
      <c r="I77" s="7" cm="1">
        <f t="array" ref="I77">IF(OR(D77="", E77="", F77=""), "",
   INDEX(积分标准!$D$2:$D$100, MATCH(1,
       (积分标准!$A$2:$A$100=D77) *
       (积分标准!$B$2:$B$100=E77) *
       (积分标准!$C$2:$C$100=F77), 0)) +
   IF(H77="是", 0.5, 0))</f>
        <v>4.5</v>
      </c>
      <c r="J77" s="7" t="s">
        <v>1718</v>
      </c>
      <c r="K77" s="7">
        <v>8695568</v>
      </c>
      <c r="M77" s="7">
        <v>1</v>
      </c>
      <c r="N77" s="7">
        <v>1</v>
      </c>
      <c r="O77" s="11">
        <f t="shared" ref="O77:O81" si="8">M77/N77*I77</f>
        <v>4.5</v>
      </c>
    </row>
    <row r="78" spans="1:15" x14ac:dyDescent="0.3">
      <c r="A78" s="7">
        <v>77</v>
      </c>
      <c r="B78" s="8">
        <v>45839</v>
      </c>
      <c r="C78" s="7" t="s">
        <v>55</v>
      </c>
      <c r="D78" s="7" t="s">
        <v>103</v>
      </c>
      <c r="E78" s="7" t="s">
        <v>1710</v>
      </c>
      <c r="F78" s="7" t="s">
        <v>1711</v>
      </c>
      <c r="G78" s="7" t="s">
        <v>1713</v>
      </c>
      <c r="H78" s="7" t="s">
        <v>48</v>
      </c>
      <c r="I78" s="7" cm="1">
        <f t="array" ref="I78">IF(OR(D78="", E78="", F78=""), "",
   INDEX(积分标准!$D$2:$D$100, MATCH(1,
       (积分标准!$A$2:$A$100=D78) *
       (积分标准!$B$2:$B$100=E78) *
       (积分标准!$C$2:$C$100=F78), 0)) +
   IF(H78="是", 0.5, 0))</f>
        <v>4</v>
      </c>
      <c r="J78" s="7" t="s">
        <v>1719</v>
      </c>
      <c r="K78" s="7">
        <v>8675885</v>
      </c>
      <c r="M78" s="7">
        <v>1</v>
      </c>
      <c r="N78" s="7">
        <v>1</v>
      </c>
      <c r="O78" s="11">
        <f t="shared" si="8"/>
        <v>4</v>
      </c>
    </row>
    <row r="79" spans="1:15" x14ac:dyDescent="0.3">
      <c r="A79" s="7">
        <v>78</v>
      </c>
      <c r="B79" s="8">
        <v>45839</v>
      </c>
      <c r="C79" s="7" t="s">
        <v>88</v>
      </c>
      <c r="D79" s="7" t="s">
        <v>103</v>
      </c>
      <c r="E79" s="7" t="s">
        <v>1710</v>
      </c>
      <c r="F79" s="7" t="s">
        <v>1711</v>
      </c>
      <c r="G79" s="7" t="s">
        <v>1714</v>
      </c>
      <c r="H79" s="7" t="s">
        <v>48</v>
      </c>
      <c r="I79" s="7" cm="1">
        <f t="array" ref="I79">IF(OR(D79="", E79="", F79=""), "",
   INDEX(积分标准!$D$2:$D$100, MATCH(1,
       (积分标准!$A$2:$A$100=D79) *
       (积分标准!$B$2:$B$100=E79) *
       (积分标准!$C$2:$C$100=F79), 0)) +
   IF(H79="是", 0.5, 0))</f>
        <v>4</v>
      </c>
      <c r="J79" s="7" t="s">
        <v>137</v>
      </c>
      <c r="K79" s="7">
        <v>8680603</v>
      </c>
      <c r="M79" s="7">
        <v>1</v>
      </c>
      <c r="N79" s="7">
        <v>1</v>
      </c>
      <c r="O79" s="11">
        <f t="shared" si="8"/>
        <v>4</v>
      </c>
    </row>
    <row r="80" spans="1:15" x14ac:dyDescent="0.3">
      <c r="A80" s="7">
        <v>79</v>
      </c>
      <c r="B80" s="8">
        <v>45839</v>
      </c>
      <c r="C80" s="7" t="s">
        <v>88</v>
      </c>
      <c r="D80" s="7" t="s">
        <v>103</v>
      </c>
      <c r="E80" s="7" t="s">
        <v>1710</v>
      </c>
      <c r="F80" s="7" t="s">
        <v>1711</v>
      </c>
      <c r="G80" s="7" t="s">
        <v>1715</v>
      </c>
      <c r="H80" s="7" t="s">
        <v>48</v>
      </c>
      <c r="I80" s="7" cm="1">
        <f t="array" ref="I80">IF(OR(D80="", E80="", F80=""), "",
   INDEX(积分标准!$D$2:$D$100, MATCH(1,
       (积分标准!$A$2:$A$100=D80) *
       (积分标准!$B$2:$B$100=E80) *
       (积分标准!$C$2:$C$100=F80), 0)) +
   IF(H80="是", 0.5, 0))</f>
        <v>4</v>
      </c>
      <c r="J80" s="7" t="s">
        <v>128</v>
      </c>
      <c r="K80" s="7">
        <v>8680603</v>
      </c>
      <c r="M80" s="7">
        <v>1</v>
      </c>
      <c r="N80" s="7">
        <v>1</v>
      </c>
      <c r="O80" s="11">
        <f t="shared" si="8"/>
        <v>4</v>
      </c>
    </row>
    <row r="81" spans="1:15" x14ac:dyDescent="0.3">
      <c r="A81" s="7">
        <v>80</v>
      </c>
      <c r="B81" s="8">
        <v>45839</v>
      </c>
      <c r="C81" s="7" t="s">
        <v>55</v>
      </c>
      <c r="D81" s="7" t="s">
        <v>103</v>
      </c>
      <c r="E81" s="7" t="s">
        <v>1710</v>
      </c>
      <c r="F81" s="7" t="s">
        <v>1717</v>
      </c>
      <c r="G81" s="7" t="s">
        <v>1716</v>
      </c>
      <c r="H81" s="7" t="s">
        <v>29</v>
      </c>
      <c r="I81" s="7" cm="1">
        <f t="array" ref="I81">IF(OR(D81="", E81="", F81=""), "",
   INDEX(积分标准!$D$2:$D$100, MATCH(1,
       (积分标准!$A$2:$A$100=D81) *
       (积分标准!$B$2:$B$100=E81) *
       (积分标准!$C$2:$C$100=F81), 0)) +
   IF(H81="是", 0.5, 0))</f>
        <v>3.5</v>
      </c>
      <c r="J81" s="7" t="s">
        <v>1720</v>
      </c>
      <c r="K81" s="7">
        <v>8694998</v>
      </c>
      <c r="M81" s="7">
        <v>1</v>
      </c>
      <c r="N81" s="7">
        <v>1</v>
      </c>
      <c r="O81" s="11">
        <f t="shared" si="8"/>
        <v>3.5</v>
      </c>
    </row>
    <row r="82" spans="1:15" x14ac:dyDescent="0.3">
      <c r="A82" s="7">
        <v>81</v>
      </c>
      <c r="B82" s="8">
        <v>45901</v>
      </c>
      <c r="C82" s="7" t="s">
        <v>212</v>
      </c>
      <c r="D82" s="7" t="s">
        <v>53</v>
      </c>
      <c r="E82" s="7" t="s">
        <v>149</v>
      </c>
      <c r="F82" s="7" t="s">
        <v>1709</v>
      </c>
      <c r="G82" s="7" t="s">
        <v>1723</v>
      </c>
      <c r="H82" s="7" t="s">
        <v>48</v>
      </c>
      <c r="I82" s="7" cm="1">
        <f t="array" ref="I82">IF(OR(D82="", E82="", F82=""), "",
   INDEX(积分标准!$D$2:$D$100, MATCH(1,
       (积分标准!$A$2:$A$100=D82) *
       (积分标准!$B$2:$B$100=E82) *
       (积分标准!$C$2:$C$100=F82), 0)) +
   IF(H82="是", 0.5, 0))</f>
        <v>2</v>
      </c>
      <c r="J82" s="7" t="s">
        <v>63</v>
      </c>
      <c r="K82" s="7">
        <v>8676591</v>
      </c>
      <c r="M82" s="7">
        <v>1</v>
      </c>
      <c r="N82" s="7">
        <v>1</v>
      </c>
      <c r="O82" s="11">
        <f t="shared" ref="O82:O85" si="9">M82/N82*I82</f>
        <v>2</v>
      </c>
    </row>
    <row r="83" spans="1:15" x14ac:dyDescent="0.3">
      <c r="A83" s="7">
        <v>82</v>
      </c>
      <c r="B83" s="8">
        <v>45901</v>
      </c>
      <c r="C83" s="7" t="s">
        <v>140</v>
      </c>
      <c r="D83" s="7" t="s">
        <v>53</v>
      </c>
      <c r="E83" s="7" t="s">
        <v>149</v>
      </c>
      <c r="F83" s="7" t="s">
        <v>1709</v>
      </c>
      <c r="G83" s="7" t="s">
        <v>1724</v>
      </c>
      <c r="H83" s="7" t="s">
        <v>29</v>
      </c>
      <c r="I83" s="7" cm="1">
        <f t="array" ref="I83">IF(OR(D83="", E83="", F83=""), "",
   INDEX(积分标准!$D$2:$D$100, MATCH(1,
       (积分标准!$A$2:$A$100=D83) *
       (积分标准!$B$2:$B$100=E83) *
       (积分标准!$C$2:$C$100=F83), 0)) +
   IF(H83="是", 0.5, 0))</f>
        <v>2.5</v>
      </c>
      <c r="J83" s="7" t="s">
        <v>332</v>
      </c>
      <c r="K83" s="22">
        <v>8722475</v>
      </c>
      <c r="M83" s="7">
        <v>1</v>
      </c>
      <c r="N83" s="7">
        <v>1</v>
      </c>
      <c r="O83" s="11">
        <f t="shared" si="9"/>
        <v>2.5</v>
      </c>
    </row>
    <row r="84" spans="1:15" x14ac:dyDescent="0.3">
      <c r="A84" s="7">
        <v>83</v>
      </c>
      <c r="B84" s="8">
        <v>45870</v>
      </c>
      <c r="C84" s="7" t="s">
        <v>55</v>
      </c>
      <c r="D84" s="7" t="s">
        <v>53</v>
      </c>
      <c r="E84" s="7" t="s">
        <v>149</v>
      </c>
      <c r="F84" s="7" t="s">
        <v>1709</v>
      </c>
      <c r="G84" s="7" t="s">
        <v>1725</v>
      </c>
      <c r="H84" s="7" t="s">
        <v>29</v>
      </c>
      <c r="I84" s="7" cm="1">
        <f t="array" ref="I84">IF(OR(D84="", E84="", F84=""), "",
   INDEX(积分标准!$D$2:$D$100, MATCH(1,
       (积分标准!$A$2:$A$100=D84) *
       (积分标准!$B$2:$B$100=E84) *
       (积分标准!$C$2:$C$100=F84), 0)) +
   IF(H84="是", 0.5, 0))</f>
        <v>2.5</v>
      </c>
      <c r="J84" s="7" t="s">
        <v>319</v>
      </c>
      <c r="K84" s="22">
        <v>8698965</v>
      </c>
      <c r="M84" s="7">
        <v>1</v>
      </c>
      <c r="N84" s="7">
        <v>1</v>
      </c>
      <c r="O84" s="11">
        <f t="shared" si="9"/>
        <v>2.5</v>
      </c>
    </row>
    <row r="85" spans="1:15" x14ac:dyDescent="0.3">
      <c r="A85" s="7">
        <v>84</v>
      </c>
      <c r="B85" s="8">
        <v>45870</v>
      </c>
      <c r="C85" s="7" t="s">
        <v>140</v>
      </c>
      <c r="D85" s="7" t="s">
        <v>53</v>
      </c>
      <c r="E85" s="7" t="s">
        <v>149</v>
      </c>
      <c r="F85" s="7" t="s">
        <v>135</v>
      </c>
      <c r="G85" s="7" t="s">
        <v>1726</v>
      </c>
      <c r="H85" s="7" t="s">
        <v>48</v>
      </c>
      <c r="I85" s="7" cm="1">
        <f t="array" ref="I85">IF(OR(D85="", E85="", F85=""), "",
   INDEX(积分标准!$D$2:$D$100, MATCH(1,
       (积分标准!$A$2:$A$100=D85) *
       (积分标准!$B$2:$B$100=E85) *
       (积分标准!$C$2:$C$100=F85), 0)) +
   IF(H85="是", 0.5, 0))</f>
        <v>1</v>
      </c>
      <c r="J85" s="7" t="s">
        <v>280</v>
      </c>
      <c r="K85" s="22">
        <v>8678829</v>
      </c>
      <c r="M85" s="7">
        <v>1</v>
      </c>
      <c r="N85" s="7">
        <v>1</v>
      </c>
      <c r="O85" s="11">
        <f t="shared" si="9"/>
        <v>1</v>
      </c>
    </row>
    <row r="86" spans="1:15" x14ac:dyDescent="0.3">
      <c r="A86" s="7">
        <v>85</v>
      </c>
      <c r="B86" s="8">
        <v>45870</v>
      </c>
      <c r="C86" s="7" t="s">
        <v>86</v>
      </c>
      <c r="D86" s="7" t="s">
        <v>53</v>
      </c>
      <c r="E86" s="7" t="s">
        <v>149</v>
      </c>
      <c r="F86" s="7" t="s">
        <v>135</v>
      </c>
      <c r="G86" s="7" t="s">
        <v>1727</v>
      </c>
      <c r="H86" s="7" t="s">
        <v>48</v>
      </c>
      <c r="I86" s="7" cm="1">
        <f t="array" ref="I86">IF(OR(D86="", E86="", F86=""), "",
   INDEX(积分标准!$D$2:$D$100, MATCH(1,
       (积分标准!$A$2:$A$100=D86) *
       (积分标准!$B$2:$B$100=E86) *
       (积分标准!$C$2:$C$100=F86), 0)) +
   IF(H86="是", 0.5, 0))</f>
        <v>1</v>
      </c>
      <c r="J86" s="7" t="s">
        <v>59</v>
      </c>
      <c r="K86" s="7">
        <v>8675741</v>
      </c>
      <c r="M86" s="7">
        <v>1</v>
      </c>
      <c r="N86" s="7">
        <v>1</v>
      </c>
      <c r="O86" s="11">
        <f t="shared" ref="O86" si="10">M86/N86*I86</f>
        <v>1</v>
      </c>
    </row>
    <row r="87" spans="1:15" x14ac:dyDescent="0.3">
      <c r="A87" s="7">
        <v>86</v>
      </c>
      <c r="B87" s="8">
        <v>45901</v>
      </c>
      <c r="C87" s="7" t="s">
        <v>88</v>
      </c>
      <c r="D87" s="7" t="s">
        <v>53</v>
      </c>
      <c r="E87" s="7" t="s">
        <v>149</v>
      </c>
      <c r="F87" s="7" t="s">
        <v>135</v>
      </c>
      <c r="G87" s="7" t="s">
        <v>1728</v>
      </c>
      <c r="H87" s="7" t="s">
        <v>48</v>
      </c>
      <c r="I87" s="7" cm="1">
        <f t="array" ref="I87">IF(OR(D87="", E87="", F87=""), "",
   INDEX(积分标准!$D$2:$D$100, MATCH(1,
       (积分标准!$A$2:$A$100=D87) *
       (积分标准!$B$2:$B$100=E87) *
       (积分标准!$C$2:$C$100=F87), 0)) +
   IF(H87="是", 0.5, 0))</f>
        <v>1</v>
      </c>
      <c r="J87" s="7" t="s">
        <v>126</v>
      </c>
      <c r="K87" s="7">
        <v>8687765</v>
      </c>
      <c r="M87" s="7">
        <v>1</v>
      </c>
      <c r="N87" s="7">
        <v>1</v>
      </c>
      <c r="O87" s="11">
        <f t="shared" ref="O87:O108" si="11">M87/N87*I87</f>
        <v>1</v>
      </c>
    </row>
    <row r="88" spans="1:15" x14ac:dyDescent="0.3">
      <c r="A88" s="7">
        <v>87</v>
      </c>
      <c r="B88" s="8">
        <v>45901</v>
      </c>
      <c r="C88" s="7" t="s">
        <v>88</v>
      </c>
      <c r="D88" s="7" t="s">
        <v>53</v>
      </c>
      <c r="E88" s="7" t="s">
        <v>149</v>
      </c>
      <c r="F88" s="7" t="s">
        <v>135</v>
      </c>
      <c r="G88" s="7" t="s">
        <v>1729</v>
      </c>
      <c r="H88" s="7" t="s">
        <v>29</v>
      </c>
      <c r="I88" s="7" cm="1">
        <f t="array" ref="I88">IF(OR(D88="", E88="", F88=""), "",
   INDEX(积分标准!$D$2:$D$100, MATCH(1,
       (积分标准!$A$2:$A$100=D88) *
       (积分标准!$B$2:$B$100=E88) *
       (积分标准!$C$2:$C$100=F88), 0)) +
   IF(H88="是", 0.5, 0))</f>
        <v>1.5</v>
      </c>
      <c r="J88" s="7" t="s">
        <v>330</v>
      </c>
      <c r="K88" s="7">
        <v>8722495</v>
      </c>
      <c r="M88" s="7">
        <v>1</v>
      </c>
      <c r="N88" s="7">
        <v>1</v>
      </c>
      <c r="O88" s="11">
        <f t="shared" si="11"/>
        <v>1.5</v>
      </c>
    </row>
    <row r="89" spans="1:15" x14ac:dyDescent="0.3">
      <c r="A89" s="7">
        <v>88</v>
      </c>
      <c r="B89" s="8">
        <v>45901</v>
      </c>
      <c r="C89" s="7" t="s">
        <v>52</v>
      </c>
      <c r="D89" s="7" t="s">
        <v>53</v>
      </c>
      <c r="E89" s="7" t="s">
        <v>149</v>
      </c>
      <c r="F89" s="7" t="s">
        <v>135</v>
      </c>
      <c r="G89" s="7" t="s">
        <v>1730</v>
      </c>
      <c r="H89" s="7" t="s">
        <v>29</v>
      </c>
      <c r="I89" s="7" cm="1">
        <f t="array" ref="I89">IF(OR(D89="", E89="", F89=""), "",
   INDEX(积分标准!$D$2:$D$100, MATCH(1,
       (积分标准!$A$2:$A$100=D89) *
       (积分标准!$B$2:$B$100=E89) *
       (积分标准!$C$2:$C$100=F89), 0)) +
   IF(H89="是", 0.5, 0))</f>
        <v>1.5</v>
      </c>
      <c r="J89" s="7" t="s">
        <v>435</v>
      </c>
      <c r="K89" s="7">
        <v>8674440</v>
      </c>
      <c r="M89" s="7">
        <v>1</v>
      </c>
      <c r="N89" s="7">
        <v>1</v>
      </c>
      <c r="O89" s="11">
        <f t="shared" si="11"/>
        <v>1.5</v>
      </c>
    </row>
    <row r="90" spans="1:15" x14ac:dyDescent="0.3">
      <c r="A90" s="7">
        <v>89</v>
      </c>
      <c r="B90" s="8">
        <v>45901</v>
      </c>
      <c r="C90" s="7" t="s">
        <v>140</v>
      </c>
      <c r="D90" s="7" t="s">
        <v>53</v>
      </c>
      <c r="E90" s="7" t="s">
        <v>149</v>
      </c>
      <c r="F90" s="7" t="s">
        <v>135</v>
      </c>
      <c r="G90" s="7" t="s">
        <v>1731</v>
      </c>
      <c r="H90" s="7" t="s">
        <v>29</v>
      </c>
      <c r="I90" s="7" cm="1">
        <f t="array" ref="I90">IF(OR(D90="", E90="", F90=""), "",
   INDEX(积分标准!$D$2:$D$100, MATCH(1,
       (积分标准!$A$2:$A$100=D90) *
       (积分标准!$B$2:$B$100=E90) *
       (积分标准!$C$2:$C$100=F90), 0)) +
   IF(H90="是", 0.5, 0))</f>
        <v>1.5</v>
      </c>
      <c r="J90" s="7" t="s">
        <v>288</v>
      </c>
      <c r="K90" s="7">
        <v>8696248</v>
      </c>
      <c r="M90" s="7">
        <v>1</v>
      </c>
      <c r="N90" s="7">
        <v>1</v>
      </c>
      <c r="O90" s="11">
        <f t="shared" si="11"/>
        <v>1.5</v>
      </c>
    </row>
    <row r="91" spans="1:15" x14ac:dyDescent="0.3">
      <c r="A91" s="7">
        <v>90</v>
      </c>
      <c r="B91" s="8">
        <v>45901</v>
      </c>
      <c r="C91" s="7" t="s">
        <v>55</v>
      </c>
      <c r="D91" s="7" t="s">
        <v>53</v>
      </c>
      <c r="E91" s="7" t="s">
        <v>149</v>
      </c>
      <c r="F91" s="7" t="s">
        <v>135</v>
      </c>
      <c r="G91" s="7" t="s">
        <v>1732</v>
      </c>
      <c r="H91" s="7" t="s">
        <v>29</v>
      </c>
      <c r="I91" s="7" cm="1">
        <f t="array" ref="I91">IF(OR(D91="", E91="", F91=""), "",
   INDEX(积分标准!$D$2:$D$100, MATCH(1,
       (积分标准!$A$2:$A$100=D91) *
       (积分标准!$B$2:$B$100=E91) *
       (积分标准!$C$2:$C$100=F91), 0)) +
   IF(H91="是", 0.5, 0))</f>
        <v>1.5</v>
      </c>
      <c r="J91" s="7" t="s">
        <v>367</v>
      </c>
      <c r="K91" s="7">
        <v>8673987</v>
      </c>
      <c r="M91" s="7">
        <v>1</v>
      </c>
      <c r="N91" s="7">
        <v>1</v>
      </c>
      <c r="O91" s="11">
        <f t="shared" si="11"/>
        <v>1.5</v>
      </c>
    </row>
    <row r="92" spans="1:15" x14ac:dyDescent="0.3">
      <c r="A92" s="7">
        <v>91</v>
      </c>
      <c r="B92" s="8">
        <v>45901</v>
      </c>
      <c r="C92" s="7" t="s">
        <v>212</v>
      </c>
      <c r="D92" s="7" t="s">
        <v>53</v>
      </c>
      <c r="E92" s="7" t="s">
        <v>149</v>
      </c>
      <c r="F92" s="7" t="s">
        <v>135</v>
      </c>
      <c r="G92" s="7" t="s">
        <v>1733</v>
      </c>
      <c r="H92" s="7" t="s">
        <v>29</v>
      </c>
      <c r="I92" s="7" cm="1">
        <f t="array" ref="I92">IF(OR(D92="", E92="", F92=""), "",
   INDEX(积分标准!$D$2:$D$100, MATCH(1,
       (积分标准!$A$2:$A$100=D92) *
       (积分标准!$B$2:$B$100=E92) *
       (积分标准!$C$2:$C$100=F92), 0)) +
   IF(H92="是", 0.5, 0))</f>
        <v>1.5</v>
      </c>
      <c r="J92" s="7" t="s">
        <v>546</v>
      </c>
      <c r="K92" s="7">
        <v>8613399</v>
      </c>
      <c r="M92" s="7">
        <v>1</v>
      </c>
      <c r="N92" s="7">
        <v>1</v>
      </c>
      <c r="O92" s="11">
        <f t="shared" si="11"/>
        <v>1.5</v>
      </c>
    </row>
    <row r="93" spans="1:15" x14ac:dyDescent="0.3">
      <c r="A93" s="7">
        <v>92</v>
      </c>
      <c r="B93" s="8">
        <v>45901</v>
      </c>
      <c r="C93" s="7" t="s">
        <v>87</v>
      </c>
      <c r="D93" s="7" t="s">
        <v>53</v>
      </c>
      <c r="E93" s="7" t="s">
        <v>149</v>
      </c>
      <c r="F93" s="7" t="s">
        <v>135</v>
      </c>
      <c r="G93" s="7" t="s">
        <v>1734</v>
      </c>
      <c r="H93" s="7" t="s">
        <v>29</v>
      </c>
      <c r="I93" s="7" cm="1">
        <f t="array" ref="I93">IF(OR(D93="", E93="", F93=""), "",
   INDEX(积分标准!$D$2:$D$100, MATCH(1,
       (积分标准!$A$2:$A$100=D93) *
       (积分标准!$B$2:$B$100=E93) *
       (积分标准!$C$2:$C$100=F93), 0)) +
   IF(H93="是", 0.5, 0))</f>
        <v>1.5</v>
      </c>
      <c r="J93" s="7" t="s">
        <v>83</v>
      </c>
      <c r="K93" s="7">
        <v>8676593</v>
      </c>
      <c r="M93" s="7">
        <v>1</v>
      </c>
      <c r="N93" s="7">
        <v>1</v>
      </c>
      <c r="O93" s="11">
        <f t="shared" si="11"/>
        <v>1.5</v>
      </c>
    </row>
    <row r="94" spans="1:15" x14ac:dyDescent="0.3">
      <c r="A94" s="7">
        <v>93</v>
      </c>
      <c r="B94" s="8">
        <v>45901</v>
      </c>
      <c r="C94" s="7" t="s">
        <v>140</v>
      </c>
      <c r="D94" s="7" t="s">
        <v>53</v>
      </c>
      <c r="E94" s="7" t="s">
        <v>149</v>
      </c>
      <c r="F94" s="7" t="s">
        <v>135</v>
      </c>
      <c r="G94" s="7" t="s">
        <v>1735</v>
      </c>
      <c r="H94" s="7" t="s">
        <v>29</v>
      </c>
      <c r="I94" s="7" cm="1">
        <f t="array" ref="I94">IF(OR(D94="", E94="", F94=""), "",
   INDEX(积分标准!$D$2:$D$100, MATCH(1,
       (积分标准!$A$2:$A$100=D94) *
       (积分标准!$B$2:$B$100=E94) *
       (积分标准!$C$2:$C$100=F94), 0)) +
   IF(H94="是", 0.5, 0))</f>
        <v>1.5</v>
      </c>
      <c r="J94" s="7" t="s">
        <v>344</v>
      </c>
      <c r="K94" s="7">
        <v>8730579</v>
      </c>
      <c r="M94" s="7">
        <v>1</v>
      </c>
      <c r="N94" s="7">
        <v>1</v>
      </c>
      <c r="O94" s="11">
        <f t="shared" si="11"/>
        <v>1.5</v>
      </c>
    </row>
    <row r="95" spans="1:15" x14ac:dyDescent="0.3">
      <c r="A95" s="7">
        <v>94</v>
      </c>
      <c r="B95" s="8">
        <v>45901</v>
      </c>
      <c r="C95" s="7" t="s">
        <v>86</v>
      </c>
      <c r="D95" s="7" t="s">
        <v>53</v>
      </c>
      <c r="E95" s="7" t="s">
        <v>149</v>
      </c>
      <c r="F95" s="7" t="s">
        <v>135</v>
      </c>
      <c r="G95" s="7" t="s">
        <v>1736</v>
      </c>
      <c r="H95" s="7" t="s">
        <v>48</v>
      </c>
      <c r="I95" s="7" cm="1">
        <f t="array" ref="I95">IF(OR(D95="", E95="", F95=""), "",
   INDEX(积分标准!$D$2:$D$100, MATCH(1,
       (积分标准!$A$2:$A$100=D95) *
       (积分标准!$B$2:$B$100=E95) *
       (积分标准!$C$2:$C$100=F95), 0)) +
   IF(H95="是", 0.5, 0))</f>
        <v>1</v>
      </c>
      <c r="J95" s="7" t="s">
        <v>59</v>
      </c>
      <c r="K95" s="7">
        <v>8675741</v>
      </c>
      <c r="M95" s="7">
        <v>1</v>
      </c>
      <c r="N95" s="7">
        <v>1</v>
      </c>
      <c r="O95" s="11">
        <f t="shared" si="11"/>
        <v>1</v>
      </c>
    </row>
    <row r="96" spans="1:15" x14ac:dyDescent="0.3">
      <c r="A96" s="7">
        <v>95</v>
      </c>
      <c r="B96" s="8">
        <v>45901</v>
      </c>
      <c r="C96" s="7" t="s">
        <v>52</v>
      </c>
      <c r="D96" s="7" t="s">
        <v>53</v>
      </c>
      <c r="E96" s="7" t="s">
        <v>149</v>
      </c>
      <c r="F96" s="7" t="s">
        <v>135</v>
      </c>
      <c r="G96" s="7" t="s">
        <v>1737</v>
      </c>
      <c r="H96" s="7" t="s">
        <v>29</v>
      </c>
      <c r="I96" s="7" cm="1">
        <f t="array" ref="I96">IF(OR(D96="", E96="", F96=""), "",
   INDEX(积分标准!$D$2:$D$100, MATCH(1,
       (积分标准!$A$2:$A$100=D96) *
       (积分标准!$B$2:$B$100=E96) *
       (积分标准!$C$2:$C$100=F96), 0)) +
   IF(H96="是", 0.5, 0))</f>
        <v>1.5</v>
      </c>
      <c r="J96" s="7" t="s">
        <v>56</v>
      </c>
      <c r="K96" s="7">
        <v>8683980</v>
      </c>
      <c r="M96" s="7">
        <v>1</v>
      </c>
      <c r="N96" s="7">
        <v>1</v>
      </c>
      <c r="O96" s="11">
        <f t="shared" si="11"/>
        <v>1.5</v>
      </c>
    </row>
    <row r="97" spans="1:15" x14ac:dyDescent="0.3">
      <c r="A97" s="7">
        <v>96</v>
      </c>
      <c r="B97" s="8">
        <v>45901</v>
      </c>
      <c r="C97" s="7" t="s">
        <v>212</v>
      </c>
      <c r="D97" s="7" t="s">
        <v>53</v>
      </c>
      <c r="E97" s="7" t="s">
        <v>149</v>
      </c>
      <c r="F97" s="7" t="s">
        <v>135</v>
      </c>
      <c r="G97" s="7" t="s">
        <v>1738</v>
      </c>
      <c r="H97" s="7" t="s">
        <v>29</v>
      </c>
      <c r="I97" s="7" cm="1">
        <f t="array" ref="I97">IF(OR(D97="", E97="", F97=""), "",
   INDEX(积分标准!$D$2:$D$100, MATCH(1,
       (积分标准!$A$2:$A$100=D97) *
       (积分标准!$B$2:$B$100=E97) *
       (积分标准!$C$2:$C$100=F97), 0)) +
   IF(H97="是", 0.5, 0))</f>
        <v>1.5</v>
      </c>
      <c r="J97" s="7" t="s">
        <v>62</v>
      </c>
      <c r="K97" s="7">
        <v>8676581</v>
      </c>
      <c r="M97" s="7">
        <v>1</v>
      </c>
      <c r="N97" s="7">
        <v>1</v>
      </c>
      <c r="O97" s="11">
        <f t="shared" si="11"/>
        <v>1.5</v>
      </c>
    </row>
    <row r="98" spans="1:15" x14ac:dyDescent="0.3">
      <c r="A98" s="7">
        <v>97</v>
      </c>
      <c r="B98" s="8">
        <v>45901</v>
      </c>
      <c r="C98" s="7" t="s">
        <v>216</v>
      </c>
      <c r="D98" s="7" t="s">
        <v>53</v>
      </c>
      <c r="E98" s="7" t="s">
        <v>149</v>
      </c>
      <c r="F98" s="7" t="s">
        <v>135</v>
      </c>
      <c r="G98" s="7" t="s">
        <v>1739</v>
      </c>
      <c r="H98" s="7" t="s">
        <v>48</v>
      </c>
      <c r="I98" s="7" cm="1">
        <f t="array" ref="I98">IF(OR(D98="", E98="", F98=""), "",
   INDEX(积分标准!$D$2:$D$100, MATCH(1,
       (积分标准!$A$2:$A$100=D98) *
       (积分标准!$B$2:$B$100=E98) *
       (积分标准!$C$2:$C$100=F98), 0)) +
   IF(H98="是", 0.5, 0))</f>
        <v>1</v>
      </c>
      <c r="J98" s="7" t="s">
        <v>127</v>
      </c>
      <c r="K98" s="7">
        <v>8682839</v>
      </c>
      <c r="M98" s="7">
        <v>1</v>
      </c>
      <c r="N98" s="7">
        <v>1</v>
      </c>
      <c r="O98" s="11">
        <f t="shared" si="11"/>
        <v>1</v>
      </c>
    </row>
    <row r="99" spans="1:15" x14ac:dyDescent="0.3">
      <c r="A99" s="7">
        <v>98</v>
      </c>
      <c r="B99" s="8">
        <v>45901</v>
      </c>
      <c r="C99" s="7" t="s">
        <v>212</v>
      </c>
      <c r="D99" s="7" t="s">
        <v>53</v>
      </c>
      <c r="E99" s="7" t="s">
        <v>149</v>
      </c>
      <c r="F99" s="7" t="s">
        <v>135</v>
      </c>
      <c r="G99" s="7" t="s">
        <v>1740</v>
      </c>
      <c r="H99" s="7" t="s">
        <v>48</v>
      </c>
      <c r="I99" s="7" cm="1">
        <f t="array" ref="I99">IF(OR(D99="", E99="", F99=""), "",
   INDEX(积分标准!$D$2:$D$100, MATCH(1,
       (积分标准!$A$2:$A$100=D99) *
       (积分标准!$B$2:$B$100=E99) *
       (积分标准!$C$2:$C$100=F99), 0)) +
   IF(H99="是", 0.5, 0))</f>
        <v>1</v>
      </c>
      <c r="J99" s="7" t="s">
        <v>934</v>
      </c>
      <c r="K99" s="7">
        <v>8681179</v>
      </c>
      <c r="M99" s="7">
        <v>1</v>
      </c>
      <c r="N99" s="7">
        <v>1</v>
      </c>
      <c r="O99" s="11">
        <f t="shared" si="11"/>
        <v>1</v>
      </c>
    </row>
    <row r="100" spans="1:15" x14ac:dyDescent="0.3">
      <c r="A100" s="7">
        <v>99</v>
      </c>
      <c r="B100" s="8">
        <v>45901</v>
      </c>
      <c r="C100" s="7" t="s">
        <v>55</v>
      </c>
      <c r="D100" s="7" t="s">
        <v>53</v>
      </c>
      <c r="E100" s="7" t="s">
        <v>149</v>
      </c>
      <c r="F100" s="7" t="s">
        <v>135</v>
      </c>
      <c r="G100" s="7" t="s">
        <v>1741</v>
      </c>
      <c r="H100" s="7" t="s">
        <v>29</v>
      </c>
      <c r="I100" s="7" cm="1">
        <f t="array" ref="I100">IF(OR(D100="", E100="", F100=""), "",
   INDEX(积分标准!$D$2:$D$100, MATCH(1,
       (积分标准!$A$2:$A$100=D100) *
       (积分标准!$B$2:$B$100=E100) *
       (积分标准!$C$2:$C$100=F100), 0)) +
   IF(H100="是", 0.5, 0))</f>
        <v>1.5</v>
      </c>
      <c r="J100" s="7" t="s">
        <v>327</v>
      </c>
      <c r="K100" s="7">
        <v>8719234</v>
      </c>
      <c r="M100" s="7">
        <v>1</v>
      </c>
      <c r="N100" s="7">
        <v>1</v>
      </c>
      <c r="O100" s="11">
        <f t="shared" si="11"/>
        <v>1.5</v>
      </c>
    </row>
    <row r="101" spans="1:15" x14ac:dyDescent="0.3">
      <c r="A101" s="7">
        <v>100</v>
      </c>
      <c r="B101" s="8">
        <v>45901</v>
      </c>
      <c r="C101" s="7" t="s">
        <v>140</v>
      </c>
      <c r="D101" s="7" t="s">
        <v>53</v>
      </c>
      <c r="E101" s="7" t="s">
        <v>149</v>
      </c>
      <c r="F101" s="7" t="s">
        <v>1709</v>
      </c>
      <c r="G101" s="7" t="s">
        <v>1742</v>
      </c>
      <c r="H101" s="7" t="s">
        <v>29</v>
      </c>
      <c r="I101" s="7" cm="1">
        <f t="array" ref="I101">IF(OR(D101="", E101="", F101=""), "",
   INDEX(积分标准!$D$2:$D$100, MATCH(1,
       (积分标准!$A$2:$A$100=D101) *
       (积分标准!$B$2:$B$100=E101) *
       (积分标准!$C$2:$C$100=F101), 0)) +
   IF(H101="是", 0.5, 0))</f>
        <v>2.5</v>
      </c>
      <c r="J101" s="7" t="s">
        <v>84</v>
      </c>
      <c r="K101" s="7">
        <v>8695305</v>
      </c>
      <c r="M101" s="7">
        <v>1</v>
      </c>
      <c r="N101" s="7">
        <v>1</v>
      </c>
      <c r="O101" s="11">
        <f t="shared" si="11"/>
        <v>2.5</v>
      </c>
    </row>
    <row r="102" spans="1:15" x14ac:dyDescent="0.3">
      <c r="A102" s="7">
        <v>101</v>
      </c>
      <c r="B102" s="8">
        <v>45901</v>
      </c>
      <c r="C102" s="7" t="s">
        <v>109</v>
      </c>
      <c r="D102" s="7" t="s">
        <v>53</v>
      </c>
      <c r="E102" s="7" t="s">
        <v>149</v>
      </c>
      <c r="F102" s="7" t="s">
        <v>135</v>
      </c>
      <c r="G102" s="7" t="s">
        <v>1743</v>
      </c>
      <c r="H102" s="7" t="s">
        <v>48</v>
      </c>
      <c r="I102" s="7" cm="1">
        <f t="array" ref="I102">IF(OR(D102="", E102="", F102=""), "",
   INDEX(积分标准!$D$2:$D$100, MATCH(1,
       (积分标准!$A$2:$A$100=D102) *
       (积分标准!$B$2:$B$100=E102) *
       (积分标准!$C$2:$C$100=F102), 0)) +
   IF(H102="是", 0.5, 0))</f>
        <v>1</v>
      </c>
      <c r="J102" s="7" t="s">
        <v>112</v>
      </c>
      <c r="K102" s="7">
        <v>8696816</v>
      </c>
      <c r="M102" s="7">
        <v>1</v>
      </c>
      <c r="N102" s="7">
        <v>1</v>
      </c>
      <c r="O102" s="11">
        <f t="shared" si="11"/>
        <v>1</v>
      </c>
    </row>
    <row r="103" spans="1:15" x14ac:dyDescent="0.3">
      <c r="A103" s="7">
        <v>102</v>
      </c>
      <c r="B103" s="8">
        <v>45901</v>
      </c>
      <c r="C103" s="7" t="s">
        <v>214</v>
      </c>
      <c r="D103" s="7" t="s">
        <v>53</v>
      </c>
      <c r="E103" s="7" t="s">
        <v>149</v>
      </c>
      <c r="F103" s="7" t="s">
        <v>135</v>
      </c>
      <c r="G103" s="7" t="s">
        <v>1744</v>
      </c>
      <c r="H103" s="7" t="s">
        <v>48</v>
      </c>
      <c r="I103" s="7" cm="1">
        <f t="array" ref="I103">IF(OR(D103="", E103="", F103=""), "",
   INDEX(积分标准!$D$2:$D$100, MATCH(1,
       (积分标准!$A$2:$A$100=D103) *
       (积分标准!$B$2:$B$100=E103) *
       (积分标准!$C$2:$C$100=F103), 0)) +
   IF(H103="是", 0.5, 0))</f>
        <v>1</v>
      </c>
      <c r="J103" s="7" t="s">
        <v>201</v>
      </c>
      <c r="K103" s="7">
        <v>8681396</v>
      </c>
      <c r="M103" s="7">
        <v>1</v>
      </c>
      <c r="N103" s="7">
        <v>1</v>
      </c>
      <c r="O103" s="11">
        <f t="shared" si="11"/>
        <v>1</v>
      </c>
    </row>
    <row r="104" spans="1:15" x14ac:dyDescent="0.3">
      <c r="A104" s="7">
        <v>103</v>
      </c>
      <c r="B104" s="8">
        <v>45901</v>
      </c>
      <c r="C104" s="7" t="s">
        <v>55</v>
      </c>
      <c r="D104" s="7" t="s">
        <v>53</v>
      </c>
      <c r="E104" s="7" t="s">
        <v>149</v>
      </c>
      <c r="F104" s="7" t="s">
        <v>135</v>
      </c>
      <c r="G104" s="7" t="s">
        <v>1745</v>
      </c>
      <c r="H104" s="7" t="s">
        <v>48</v>
      </c>
      <c r="I104" s="7" cm="1">
        <f t="array" ref="I104">IF(OR(D104="", E104="", F104=""), "",
   INDEX(积分标准!$D$2:$D$100, MATCH(1,
       (积分标准!$A$2:$A$100=D104) *
       (积分标准!$B$2:$B$100=E104) *
       (积分标准!$C$2:$C$100=F104), 0)) +
   IF(H104="是", 0.5, 0))</f>
        <v>1</v>
      </c>
      <c r="J104" s="7" t="s">
        <v>319</v>
      </c>
      <c r="K104" s="7">
        <v>8698965</v>
      </c>
      <c r="M104" s="7">
        <v>1</v>
      </c>
      <c r="N104" s="7">
        <v>1</v>
      </c>
      <c r="O104" s="11">
        <f t="shared" si="11"/>
        <v>1</v>
      </c>
    </row>
    <row r="105" spans="1:15" x14ac:dyDescent="0.3">
      <c r="A105" s="7">
        <v>104</v>
      </c>
      <c r="B105" s="8">
        <v>45901</v>
      </c>
      <c r="C105" s="7" t="s">
        <v>55</v>
      </c>
      <c r="D105" s="7" t="s">
        <v>53</v>
      </c>
      <c r="E105" s="7" t="s">
        <v>149</v>
      </c>
      <c r="F105" s="7" t="s">
        <v>135</v>
      </c>
      <c r="G105" s="7" t="s">
        <v>1746</v>
      </c>
      <c r="H105" s="7" t="s">
        <v>48</v>
      </c>
      <c r="I105" s="7" cm="1">
        <f t="array" ref="I105">IF(OR(D105="", E105="", F105=""), "",
   INDEX(积分标准!$D$2:$D$100, MATCH(1,
       (积分标准!$A$2:$A$100=D105) *
       (积分标准!$B$2:$B$100=E105) *
       (积分标准!$C$2:$C$100=F105), 0)) +
   IF(H105="是", 0.5, 0))</f>
        <v>1</v>
      </c>
      <c r="J105" s="7" t="s">
        <v>319</v>
      </c>
      <c r="K105" s="7">
        <v>8698965</v>
      </c>
      <c r="M105" s="7">
        <v>1</v>
      </c>
      <c r="N105" s="7">
        <v>1</v>
      </c>
      <c r="O105" s="11">
        <f t="shared" si="11"/>
        <v>1</v>
      </c>
    </row>
    <row r="106" spans="1:15" x14ac:dyDescent="0.3">
      <c r="A106" s="7">
        <v>105</v>
      </c>
      <c r="B106" s="8">
        <v>45901</v>
      </c>
      <c r="C106" s="7" t="s">
        <v>140</v>
      </c>
      <c r="D106" s="7" t="s">
        <v>53</v>
      </c>
      <c r="E106" s="7" t="s">
        <v>149</v>
      </c>
      <c r="F106" s="7" t="s">
        <v>135</v>
      </c>
      <c r="G106" s="7" t="s">
        <v>1747</v>
      </c>
      <c r="H106" s="7" t="s">
        <v>29</v>
      </c>
      <c r="I106" s="7" cm="1">
        <f t="array" ref="I106">IF(OR(D106="", E106="", F106=""), "",
   INDEX(积分标准!$D$2:$D$100, MATCH(1,
       (积分标准!$A$2:$A$100=D106) *
       (积分标准!$B$2:$B$100=E106) *
       (积分标准!$C$2:$C$100=F106), 0)) +
   IF(H106="是", 0.5, 0))</f>
        <v>1.5</v>
      </c>
      <c r="J106" s="7" t="s">
        <v>289</v>
      </c>
      <c r="K106" s="7">
        <v>8695568</v>
      </c>
      <c r="M106" s="7">
        <v>1</v>
      </c>
      <c r="N106" s="7">
        <v>1</v>
      </c>
      <c r="O106" s="11">
        <f t="shared" si="11"/>
        <v>1.5</v>
      </c>
    </row>
    <row r="107" spans="1:15" x14ac:dyDescent="0.3">
      <c r="A107" s="7">
        <v>106</v>
      </c>
      <c r="B107" s="8">
        <v>45901</v>
      </c>
      <c r="C107" s="7" t="s">
        <v>55</v>
      </c>
      <c r="D107" s="7" t="s">
        <v>53</v>
      </c>
      <c r="E107" s="7" t="s">
        <v>149</v>
      </c>
      <c r="F107" s="7" t="s">
        <v>135</v>
      </c>
      <c r="G107" s="7" t="s">
        <v>1748</v>
      </c>
      <c r="H107" s="7" t="s">
        <v>48</v>
      </c>
      <c r="I107" s="7" cm="1">
        <f t="array" ref="I107">IF(OR(D107="", E107="", F107=""), "",
   INDEX(积分标准!$D$2:$D$100, MATCH(1,
       (积分标准!$A$2:$A$100=D107) *
       (积分标准!$B$2:$B$100=E107) *
       (积分标准!$C$2:$C$100=F107), 0)) +
   IF(H107="是", 0.5, 0))</f>
        <v>1</v>
      </c>
      <c r="J107" s="7" t="s">
        <v>142</v>
      </c>
      <c r="K107" s="7">
        <v>8674034</v>
      </c>
      <c r="M107" s="7">
        <v>1</v>
      </c>
      <c r="N107" s="7">
        <v>1</v>
      </c>
      <c r="O107" s="11">
        <f t="shared" si="11"/>
        <v>1</v>
      </c>
    </row>
    <row r="108" spans="1:15" x14ac:dyDescent="0.3">
      <c r="A108" s="7">
        <v>107</v>
      </c>
      <c r="B108" s="8">
        <v>45901</v>
      </c>
      <c r="C108" s="7" t="s">
        <v>214</v>
      </c>
      <c r="D108" s="7" t="s">
        <v>53</v>
      </c>
      <c r="E108" s="7" t="s">
        <v>149</v>
      </c>
      <c r="F108" s="7" t="s">
        <v>135</v>
      </c>
      <c r="G108" s="7" t="s">
        <v>1749</v>
      </c>
      <c r="H108" s="7" t="s">
        <v>48</v>
      </c>
      <c r="I108" s="7" cm="1">
        <f t="array" ref="I108">IF(OR(D108="", E108="", F108=""), "",
   INDEX(积分标准!$D$2:$D$100, MATCH(1,
       (积分标准!$A$2:$A$100=D108) *
       (积分标准!$B$2:$B$100=E108) *
       (积分标准!$C$2:$C$100=F108), 0)) +
   IF(H108="是", 0.5, 0))</f>
        <v>1</v>
      </c>
      <c r="J108" s="7" t="s">
        <v>129</v>
      </c>
      <c r="K108" s="7">
        <v>8683064</v>
      </c>
      <c r="M108" s="7">
        <v>1</v>
      </c>
      <c r="N108" s="7">
        <v>1</v>
      </c>
      <c r="O108" s="11">
        <f t="shared" si="11"/>
        <v>1</v>
      </c>
    </row>
    <row r="109" spans="1:15" x14ac:dyDescent="0.3">
      <c r="A109" s="7">
        <v>108</v>
      </c>
      <c r="B109" s="8">
        <v>45901</v>
      </c>
      <c r="C109" s="7" t="s">
        <v>218</v>
      </c>
      <c r="D109" s="7" t="s">
        <v>53</v>
      </c>
      <c r="E109" s="7" t="s">
        <v>149</v>
      </c>
      <c r="F109" s="7" t="s">
        <v>135</v>
      </c>
      <c r="G109" s="7" t="s">
        <v>1751</v>
      </c>
      <c r="H109" s="7" t="s">
        <v>48</v>
      </c>
      <c r="I109" s="7" cm="1">
        <f t="array" ref="I109">IF(OR(D109="", E109="", F109=""), "",
   INDEX(积分标准!$D$2:$D$100, MATCH(1,
       (积分标准!$A$2:$A$100=D109) *
       (积分标准!$B$2:$B$100=E109) *
       (积分标准!$C$2:$C$100=F109), 0)) +
   IF(H109="是", 0.5, 0))</f>
        <v>1</v>
      </c>
      <c r="J109" s="7" t="s">
        <v>1750</v>
      </c>
      <c r="M109" s="7">
        <v>1</v>
      </c>
      <c r="N109" s="7">
        <v>1</v>
      </c>
      <c r="O109" s="11">
        <f t="shared" ref="O109" si="12">M109/N109*I109</f>
        <v>1</v>
      </c>
    </row>
    <row r="110" spans="1:15" x14ac:dyDescent="0.3">
      <c r="A110" s="7">
        <v>109</v>
      </c>
      <c r="B110" s="8">
        <v>45931</v>
      </c>
      <c r="C110" s="7" t="s">
        <v>52</v>
      </c>
      <c r="D110" s="7" t="s">
        <v>53</v>
      </c>
      <c r="E110" s="7" t="s">
        <v>149</v>
      </c>
      <c r="F110" s="7" t="s">
        <v>135</v>
      </c>
      <c r="G110" s="7" t="s">
        <v>1752</v>
      </c>
      <c r="H110" s="7" t="s">
        <v>29</v>
      </c>
      <c r="I110" s="7" cm="1">
        <f t="array" ref="I110">IF(OR(D110="", E110="", F110=""), "",
   INDEX(积分标准!$D$2:$D$100, MATCH(1,
       (积分标准!$A$2:$A$100=D110) *
       (积分标准!$B$2:$B$100=E110) *
       (积分标准!$C$2:$C$100=F110), 0)) +
   IF(H110="是", 0.5, 0))</f>
        <v>1.5</v>
      </c>
      <c r="J110" s="7" t="s">
        <v>598</v>
      </c>
      <c r="K110" s="7">
        <v>8615236</v>
      </c>
      <c r="M110" s="7">
        <v>1</v>
      </c>
      <c r="N110" s="7">
        <v>1</v>
      </c>
      <c r="O110" s="11">
        <f t="shared" ref="O110:O118" si="13">M110/N110*I110</f>
        <v>1.5</v>
      </c>
    </row>
    <row r="111" spans="1:15" x14ac:dyDescent="0.3">
      <c r="A111" s="7">
        <v>110</v>
      </c>
      <c r="B111" s="8">
        <v>45931</v>
      </c>
      <c r="C111" s="7" t="s">
        <v>140</v>
      </c>
      <c r="D111" s="7" t="s">
        <v>53</v>
      </c>
      <c r="E111" s="7" t="s">
        <v>149</v>
      </c>
      <c r="F111" s="7" t="s">
        <v>135</v>
      </c>
      <c r="G111" s="7" t="s">
        <v>1753</v>
      </c>
      <c r="H111" s="7" t="s">
        <v>29</v>
      </c>
      <c r="I111" s="7" cm="1">
        <f t="array" ref="I111">IF(OR(D111="", E111="", F111=""), "",
   INDEX(积分标准!$D$2:$D$100, MATCH(1,
       (积分标准!$A$2:$A$100=D111) *
       (积分标准!$B$2:$B$100=E111) *
       (积分标准!$C$2:$C$100=F111), 0)) +
   IF(H111="是", 0.5, 0))</f>
        <v>1.5</v>
      </c>
      <c r="J111" s="7" t="s">
        <v>334</v>
      </c>
      <c r="K111" s="7">
        <v>8722474</v>
      </c>
      <c r="M111" s="7">
        <v>1</v>
      </c>
      <c r="N111" s="7">
        <v>1</v>
      </c>
      <c r="O111" s="11">
        <f t="shared" si="13"/>
        <v>1.5</v>
      </c>
    </row>
    <row r="112" spans="1:15" x14ac:dyDescent="0.3">
      <c r="A112" s="7">
        <v>111</v>
      </c>
      <c r="B112" s="8">
        <v>45931</v>
      </c>
      <c r="C112" s="7" t="s">
        <v>55</v>
      </c>
      <c r="D112" s="7" t="s">
        <v>53</v>
      </c>
      <c r="E112" s="7" t="s">
        <v>149</v>
      </c>
      <c r="F112" s="7" t="s">
        <v>135</v>
      </c>
      <c r="G112" s="7" t="s">
        <v>1754</v>
      </c>
      <c r="H112" s="7" t="s">
        <v>29</v>
      </c>
      <c r="I112" s="7" cm="1">
        <f t="array" ref="I112">IF(OR(D112="", E112="", F112=""), "",
   INDEX(积分标准!$D$2:$D$100, MATCH(1,
       (积分标准!$A$2:$A$100=D112) *
       (积分标准!$B$2:$B$100=E112) *
       (积分标准!$C$2:$C$100=F112), 0)) +
   IF(H112="是", 0.5, 0))</f>
        <v>1.5</v>
      </c>
      <c r="J112" s="7" t="s">
        <v>68</v>
      </c>
      <c r="K112" s="7">
        <v>8680311</v>
      </c>
      <c r="M112" s="7">
        <v>1</v>
      </c>
      <c r="N112" s="7">
        <v>1</v>
      </c>
      <c r="O112" s="11">
        <f t="shared" si="13"/>
        <v>1.5</v>
      </c>
    </row>
    <row r="113" spans="1:15" x14ac:dyDescent="0.3">
      <c r="A113" s="7">
        <v>112</v>
      </c>
      <c r="B113" s="8">
        <v>45931</v>
      </c>
      <c r="C113" s="7" t="s">
        <v>216</v>
      </c>
      <c r="D113" s="7" t="s">
        <v>53</v>
      </c>
      <c r="E113" s="7" t="s">
        <v>149</v>
      </c>
      <c r="F113" s="7" t="s">
        <v>135</v>
      </c>
      <c r="G113" s="7" t="s">
        <v>1755</v>
      </c>
      <c r="H113" s="7" t="s">
        <v>48</v>
      </c>
      <c r="I113" s="7" cm="1">
        <f t="array" ref="I113">IF(OR(D113="", E113="", F113=""), "",
   INDEX(积分标准!$D$2:$D$100, MATCH(1,
       (积分标准!$A$2:$A$100=D113) *
       (积分标准!$B$2:$B$100=E113) *
       (积分标准!$C$2:$C$100=F113), 0)) +
   IF(H113="是", 0.5, 0))</f>
        <v>1</v>
      </c>
      <c r="J113" s="7" t="s">
        <v>127</v>
      </c>
      <c r="K113" s="7">
        <v>8682839</v>
      </c>
      <c r="M113" s="7">
        <v>1</v>
      </c>
      <c r="N113" s="7">
        <v>1</v>
      </c>
      <c r="O113" s="11">
        <f t="shared" si="13"/>
        <v>1</v>
      </c>
    </row>
    <row r="114" spans="1:15" x14ac:dyDescent="0.3">
      <c r="A114" s="7">
        <v>113</v>
      </c>
      <c r="B114" s="8">
        <v>45931</v>
      </c>
      <c r="C114" s="7" t="s">
        <v>140</v>
      </c>
      <c r="D114" s="7" t="s">
        <v>53</v>
      </c>
      <c r="E114" s="7" t="s">
        <v>149</v>
      </c>
      <c r="F114" s="7" t="s">
        <v>135</v>
      </c>
      <c r="G114" s="7" t="s">
        <v>1756</v>
      </c>
      <c r="H114" s="7" t="s">
        <v>29</v>
      </c>
      <c r="I114" s="7" cm="1">
        <f t="array" ref="I114">IF(OR(D114="", E114="", F114=""), "",
   INDEX(积分标准!$D$2:$D$100, MATCH(1,
       (积分标准!$A$2:$A$100=D114) *
       (积分标准!$B$2:$B$100=E114) *
       (积分标准!$C$2:$C$100=F114), 0)) +
   IF(H114="是", 0.5, 0))</f>
        <v>1.5</v>
      </c>
      <c r="J114" s="7" t="s">
        <v>283</v>
      </c>
      <c r="K114" s="7">
        <v>8683930</v>
      </c>
      <c r="M114" s="7">
        <v>1</v>
      </c>
      <c r="N114" s="7">
        <v>1</v>
      </c>
      <c r="O114" s="11">
        <f t="shared" si="13"/>
        <v>1.5</v>
      </c>
    </row>
    <row r="115" spans="1:15" x14ac:dyDescent="0.3">
      <c r="A115" s="7">
        <v>114</v>
      </c>
      <c r="B115" s="8">
        <v>45931</v>
      </c>
      <c r="C115" s="7" t="s">
        <v>216</v>
      </c>
      <c r="D115" s="7" t="s">
        <v>53</v>
      </c>
      <c r="E115" s="7" t="s">
        <v>149</v>
      </c>
      <c r="F115" s="7" t="s">
        <v>135</v>
      </c>
      <c r="G115" s="7" t="s">
        <v>1757</v>
      </c>
      <c r="H115" s="7" t="s">
        <v>29</v>
      </c>
      <c r="I115" s="7" cm="1">
        <f t="array" ref="I115">IF(OR(D115="", E115="", F115=""), "",
   INDEX(积分标准!$D$2:$D$100, MATCH(1,
       (积分标准!$A$2:$A$100=D115) *
       (积分标准!$B$2:$B$100=E115) *
       (积分标准!$C$2:$C$100=F115), 0)) +
   IF(H115="是", 0.5, 0))</f>
        <v>1.5</v>
      </c>
      <c r="J115" s="7" t="s">
        <v>1119</v>
      </c>
      <c r="K115" s="7">
        <v>8682062</v>
      </c>
      <c r="M115" s="7">
        <v>1</v>
      </c>
      <c r="N115" s="7">
        <v>1</v>
      </c>
      <c r="O115" s="11">
        <f t="shared" si="13"/>
        <v>1.5</v>
      </c>
    </row>
    <row r="116" spans="1:15" x14ac:dyDescent="0.3">
      <c r="A116" s="7">
        <v>115</v>
      </c>
      <c r="B116" s="8">
        <v>45931</v>
      </c>
      <c r="C116" s="7" t="s">
        <v>86</v>
      </c>
      <c r="D116" s="7" t="s">
        <v>53</v>
      </c>
      <c r="E116" s="7" t="s">
        <v>149</v>
      </c>
      <c r="F116" s="7" t="s">
        <v>135</v>
      </c>
      <c r="G116" s="7" t="s">
        <v>1758</v>
      </c>
      <c r="H116" s="7" t="s">
        <v>29</v>
      </c>
      <c r="I116" s="7" cm="1">
        <f t="array" ref="I116">IF(OR(D116="", E116="", F116=""), "",
   INDEX(积分标准!$D$2:$D$100, MATCH(1,
       (积分标准!$A$2:$A$100=D116) *
       (积分标准!$B$2:$B$100=E116) *
       (积分标准!$C$2:$C$100=F116), 0)) +
   IF(H116="是", 0.5, 0))</f>
        <v>1.5</v>
      </c>
      <c r="J116" s="7" t="s">
        <v>1031</v>
      </c>
      <c r="K116" s="7">
        <v>8681593</v>
      </c>
      <c r="M116" s="7">
        <v>1</v>
      </c>
      <c r="N116" s="7">
        <v>1</v>
      </c>
      <c r="O116" s="11">
        <f t="shared" si="13"/>
        <v>1.5</v>
      </c>
    </row>
    <row r="117" spans="1:15" x14ac:dyDescent="0.3">
      <c r="A117" s="7">
        <v>116</v>
      </c>
      <c r="B117" s="8">
        <v>45931</v>
      </c>
      <c r="C117" s="7" t="s">
        <v>109</v>
      </c>
      <c r="D117" s="7" t="s">
        <v>53</v>
      </c>
      <c r="E117" s="7" t="s">
        <v>149</v>
      </c>
      <c r="F117" s="7" t="s">
        <v>135</v>
      </c>
      <c r="G117" s="7" t="s">
        <v>1759</v>
      </c>
      <c r="H117" s="7" t="s">
        <v>48</v>
      </c>
      <c r="I117" s="7" cm="1">
        <f t="array" ref="I117">IF(OR(D117="", E117="", F117=""), "",
   INDEX(积分标准!$D$2:$D$100, MATCH(1,
       (积分标准!$A$2:$A$100=D117) *
       (积分标准!$B$2:$B$100=E117) *
       (积分标准!$C$2:$C$100=F117), 0)) +
   IF(H117="是", 0.5, 0))</f>
        <v>1</v>
      </c>
      <c r="J117" s="7" t="s">
        <v>112</v>
      </c>
      <c r="K117" s="7">
        <v>8696816</v>
      </c>
      <c r="M117" s="7">
        <v>1</v>
      </c>
      <c r="N117" s="7">
        <v>1</v>
      </c>
      <c r="O117" s="11">
        <f t="shared" si="13"/>
        <v>1</v>
      </c>
    </row>
    <row r="118" spans="1:15" x14ac:dyDescent="0.3">
      <c r="A118" s="7">
        <v>117</v>
      </c>
      <c r="B118" s="8">
        <v>45931</v>
      </c>
      <c r="C118" s="7" t="s">
        <v>55</v>
      </c>
      <c r="D118" s="7" t="s">
        <v>53</v>
      </c>
      <c r="E118" s="7" t="s">
        <v>149</v>
      </c>
      <c r="F118" s="7" t="s">
        <v>135</v>
      </c>
      <c r="G118" s="7" t="s">
        <v>1760</v>
      </c>
      <c r="H118" s="7" t="s">
        <v>48</v>
      </c>
      <c r="I118" s="7" cm="1">
        <f t="array" ref="I118">IF(OR(D118="", E118="", F118=""), "",
   INDEX(积分标准!$D$2:$D$100, MATCH(1,
       (积分标准!$A$2:$A$100=D118) *
       (积分标准!$B$2:$B$100=E118) *
       (积分标准!$C$2:$C$100=F118), 0)) +
   IF(H118="是", 0.5, 0))</f>
        <v>1</v>
      </c>
      <c r="J118" s="7" t="s">
        <v>66</v>
      </c>
      <c r="K118" s="7">
        <v>8676014</v>
      </c>
      <c r="M118" s="7">
        <v>1</v>
      </c>
      <c r="N118" s="7">
        <v>1</v>
      </c>
      <c r="O118" s="11">
        <f t="shared" si="13"/>
        <v>1</v>
      </c>
    </row>
    <row r="119" spans="1:15" x14ac:dyDescent="0.3">
      <c r="A119" s="7">
        <v>118</v>
      </c>
      <c r="B119" s="8">
        <v>45927</v>
      </c>
      <c r="C119" s="7" t="s">
        <v>88</v>
      </c>
      <c r="D119" s="7" t="s">
        <v>103</v>
      </c>
      <c r="E119" s="7" t="s">
        <v>1761</v>
      </c>
      <c r="F119" s="7" t="s">
        <v>18</v>
      </c>
      <c r="G119" s="7" t="s">
        <v>1775</v>
      </c>
      <c r="H119" s="7" t="s">
        <v>48</v>
      </c>
      <c r="I119" s="7" cm="1">
        <f t="array" ref="I119">IF(OR(D119="", E119="", F119=""), "",
   INDEX(积分标准!$D$2:$D$100, MATCH(1,
       (积分标准!$A$2:$A$100=D119) *
       (积分标准!$B$2:$B$100=E119) *
       (积分标准!$C$2:$C$100=F119), 0)) +
   IF(H119="是", 0.5, 0))</f>
        <v>3</v>
      </c>
      <c r="J119" s="7" t="s">
        <v>298</v>
      </c>
      <c r="K119" s="22">
        <v>8683691</v>
      </c>
      <c r="L119" s="7" t="s">
        <v>1762</v>
      </c>
      <c r="M119" s="7">
        <v>1</v>
      </c>
      <c r="N119" s="7">
        <v>1</v>
      </c>
      <c r="O119" s="11">
        <f t="shared" ref="O119:O127" si="14">M119/N119*I119</f>
        <v>3</v>
      </c>
    </row>
    <row r="120" spans="1:15" x14ac:dyDescent="0.3">
      <c r="A120" s="7">
        <v>119</v>
      </c>
      <c r="B120" s="8">
        <v>45927</v>
      </c>
      <c r="C120" s="7" t="s">
        <v>88</v>
      </c>
      <c r="D120" s="7" t="s">
        <v>103</v>
      </c>
      <c r="E120" s="7" t="s">
        <v>1761</v>
      </c>
      <c r="F120" s="7" t="s">
        <v>18</v>
      </c>
      <c r="G120" s="7" t="s">
        <v>1775</v>
      </c>
      <c r="H120" s="7" t="s">
        <v>48</v>
      </c>
      <c r="I120" s="7" cm="1">
        <f t="array" ref="I120">IF(OR(D120="", E120="", F120=""), "",
   INDEX(积分标准!$D$2:$D$100, MATCH(1,
       (积分标准!$A$2:$A$100=D120) *
       (积分标准!$B$2:$B$100=E120) *
       (积分标准!$C$2:$C$100=F120), 0)) +
   IF(H120="是", 0.5, 0))</f>
        <v>3</v>
      </c>
      <c r="J120" s="7" t="s">
        <v>126</v>
      </c>
      <c r="K120" s="22">
        <v>8687765</v>
      </c>
      <c r="L120" s="7" t="s">
        <v>1763</v>
      </c>
      <c r="M120" s="7">
        <v>1</v>
      </c>
      <c r="N120" s="7">
        <v>1</v>
      </c>
      <c r="O120" s="11">
        <f t="shared" si="14"/>
        <v>3</v>
      </c>
    </row>
    <row r="121" spans="1:15" x14ac:dyDescent="0.3">
      <c r="A121" s="7">
        <v>120</v>
      </c>
      <c r="B121" s="8">
        <v>45927</v>
      </c>
      <c r="C121" s="7" t="s">
        <v>109</v>
      </c>
      <c r="D121" s="7" t="s">
        <v>103</v>
      </c>
      <c r="E121" s="7" t="s">
        <v>104</v>
      </c>
      <c r="F121" s="7" t="s">
        <v>18</v>
      </c>
      <c r="G121" s="7" t="s">
        <v>1776</v>
      </c>
      <c r="H121" s="7" t="s">
        <v>48</v>
      </c>
      <c r="I121" s="7" cm="1">
        <f t="array" ref="I121">IF(OR(D121="", E121="", F121=""), "",
   INDEX(积分标准!$D$2:$D$100, MATCH(1,
       (积分标准!$A$2:$A$100=D121) *
       (积分标准!$B$2:$B$100=E121) *
       (积分标准!$C$2:$C$100=F121), 0)) +
   IF(H121="是", 0.5, 0))</f>
        <v>2</v>
      </c>
      <c r="J121" s="7" t="s">
        <v>323</v>
      </c>
      <c r="K121" s="22">
        <v>8715714</v>
      </c>
      <c r="L121" s="7" t="s">
        <v>1764</v>
      </c>
      <c r="M121" s="7">
        <v>1</v>
      </c>
      <c r="N121" s="7">
        <v>1</v>
      </c>
      <c r="O121" s="11">
        <f t="shared" si="14"/>
        <v>2</v>
      </c>
    </row>
    <row r="122" spans="1:15" x14ac:dyDescent="0.3">
      <c r="A122" s="7">
        <v>121</v>
      </c>
      <c r="B122" s="8">
        <v>45927</v>
      </c>
      <c r="C122" s="7" t="s">
        <v>52</v>
      </c>
      <c r="D122" s="7" t="s">
        <v>103</v>
      </c>
      <c r="E122" s="7" t="s">
        <v>104</v>
      </c>
      <c r="F122" s="7" t="s">
        <v>18</v>
      </c>
      <c r="G122" s="7" t="s">
        <v>1776</v>
      </c>
      <c r="H122" s="7" t="s">
        <v>48</v>
      </c>
      <c r="I122" s="7" cm="1">
        <f t="array" ref="I122">IF(OR(D122="", E122="", F122=""), "",
   INDEX(积分标准!$D$2:$D$100, MATCH(1,
       (积分标准!$A$2:$A$100=D122) *
       (积分标准!$B$2:$B$100=E122) *
       (积分标准!$C$2:$C$100=F122), 0)) +
   IF(H122="是", 0.5, 0))</f>
        <v>2</v>
      </c>
      <c r="J122" s="7" t="s">
        <v>300</v>
      </c>
      <c r="K122" s="22">
        <v>8683928</v>
      </c>
      <c r="L122" s="7" t="s">
        <v>1765</v>
      </c>
      <c r="M122" s="7">
        <v>1</v>
      </c>
      <c r="N122" s="7">
        <v>1</v>
      </c>
      <c r="O122" s="11">
        <f t="shared" si="14"/>
        <v>2</v>
      </c>
    </row>
    <row r="123" spans="1:15" x14ac:dyDescent="0.3">
      <c r="A123" s="7">
        <v>122</v>
      </c>
      <c r="B123" s="8">
        <v>45927</v>
      </c>
      <c r="C123" s="7" t="s">
        <v>109</v>
      </c>
      <c r="D123" s="7" t="s">
        <v>103</v>
      </c>
      <c r="E123" s="7" t="s">
        <v>104</v>
      </c>
      <c r="F123" s="7" t="s">
        <v>18</v>
      </c>
      <c r="G123" s="7" t="s">
        <v>1776</v>
      </c>
      <c r="H123" s="7" t="s">
        <v>48</v>
      </c>
      <c r="I123" s="7" cm="1">
        <f t="array" ref="I123">IF(OR(D123="", E123="", F123=""), "",
   INDEX(积分标准!$D$2:$D$100, MATCH(1,
       (积分标准!$A$2:$A$100=D123) *
       (积分标准!$B$2:$B$100=E123) *
       (积分标准!$C$2:$C$100=F123), 0)) +
   IF(H123="是", 0.5, 0))</f>
        <v>2</v>
      </c>
      <c r="J123" s="7" t="s">
        <v>112</v>
      </c>
      <c r="K123" s="22">
        <v>8696816</v>
      </c>
      <c r="L123" s="7" t="s">
        <v>1766</v>
      </c>
      <c r="M123" s="7">
        <v>1</v>
      </c>
      <c r="N123" s="7">
        <v>1</v>
      </c>
      <c r="O123" s="11">
        <f t="shared" si="14"/>
        <v>2</v>
      </c>
    </row>
    <row r="124" spans="1:15" x14ac:dyDescent="0.3">
      <c r="A124" s="7">
        <v>123</v>
      </c>
      <c r="B124" s="8">
        <v>45927</v>
      </c>
      <c r="C124" s="7" t="s">
        <v>55</v>
      </c>
      <c r="D124" s="7" t="s">
        <v>103</v>
      </c>
      <c r="E124" s="7" t="s">
        <v>104</v>
      </c>
      <c r="F124" s="7" t="s">
        <v>19</v>
      </c>
      <c r="G124" s="7" t="s">
        <v>1776</v>
      </c>
      <c r="H124" s="7" t="s">
        <v>48</v>
      </c>
      <c r="I124" s="7" cm="1">
        <f t="array" ref="I124">IF(OR(D124="", E124="", F124=""), "",
   INDEX(积分标准!$D$2:$D$100, MATCH(1,
       (积分标准!$A$2:$A$100=D124) *
       (积分标准!$B$2:$B$100=E124) *
       (积分标准!$C$2:$C$100=F124), 0)) +
   IF(H124="是", 0.5, 0))</f>
        <v>1</v>
      </c>
      <c r="J124" s="7" t="s">
        <v>141</v>
      </c>
      <c r="K124" s="22">
        <v>8615446</v>
      </c>
      <c r="L124" s="7" t="s">
        <v>1767</v>
      </c>
      <c r="M124" s="7">
        <v>1</v>
      </c>
      <c r="N124" s="7">
        <v>1</v>
      </c>
      <c r="O124" s="11">
        <f t="shared" si="14"/>
        <v>1</v>
      </c>
    </row>
    <row r="125" spans="1:15" x14ac:dyDescent="0.3">
      <c r="A125" s="7">
        <v>124</v>
      </c>
      <c r="B125" s="8">
        <v>45927</v>
      </c>
      <c r="C125" s="7" t="s">
        <v>86</v>
      </c>
      <c r="D125" s="7" t="s">
        <v>103</v>
      </c>
      <c r="E125" s="7" t="s">
        <v>104</v>
      </c>
      <c r="F125" s="7" t="s">
        <v>19</v>
      </c>
      <c r="G125" s="7" t="s">
        <v>1776</v>
      </c>
      <c r="H125" s="7" t="s">
        <v>48</v>
      </c>
      <c r="I125" s="7" cm="1">
        <f t="array" ref="I125">IF(OR(D125="", E125="", F125=""), "",
   INDEX(积分标准!$D$2:$D$100, MATCH(1,
       (积分标准!$A$2:$A$100=D125) *
       (积分标准!$B$2:$B$100=E125) *
       (积分标准!$C$2:$C$100=F125), 0)) +
   IF(H125="是", 0.5, 0))</f>
        <v>1</v>
      </c>
      <c r="J125" s="7" t="s">
        <v>336</v>
      </c>
      <c r="K125" s="22">
        <v>8722476</v>
      </c>
      <c r="L125" s="7" t="s">
        <v>1768</v>
      </c>
      <c r="M125" s="7">
        <v>1</v>
      </c>
      <c r="N125" s="7">
        <v>1</v>
      </c>
      <c r="O125" s="11">
        <f t="shared" si="14"/>
        <v>1</v>
      </c>
    </row>
    <row r="126" spans="1:15" x14ac:dyDescent="0.3">
      <c r="A126" s="7">
        <v>125</v>
      </c>
      <c r="B126" s="8">
        <v>45927</v>
      </c>
      <c r="C126" s="7" t="s">
        <v>216</v>
      </c>
      <c r="D126" s="7" t="s">
        <v>103</v>
      </c>
      <c r="E126" s="7" t="s">
        <v>104</v>
      </c>
      <c r="F126" s="7" t="s">
        <v>19</v>
      </c>
      <c r="G126" s="7" t="s">
        <v>1776</v>
      </c>
      <c r="H126" s="7" t="s">
        <v>48</v>
      </c>
      <c r="I126" s="7" cm="1">
        <f t="array" ref="I126">IF(OR(D126="", E126="", F126=""), "",
   INDEX(积分标准!$D$2:$D$100, MATCH(1,
       (积分标准!$A$2:$A$100=D126) *
       (积分标准!$B$2:$B$100=E126) *
       (积分标准!$C$2:$C$100=F126), 0)) +
   IF(H126="是", 0.5, 0))</f>
        <v>1</v>
      </c>
      <c r="J126" s="7" t="s">
        <v>277</v>
      </c>
      <c r="K126" s="22">
        <v>8684738</v>
      </c>
      <c r="L126" s="7" t="s">
        <v>1769</v>
      </c>
      <c r="M126" s="7">
        <v>1</v>
      </c>
      <c r="N126" s="7">
        <v>1</v>
      </c>
      <c r="O126" s="11">
        <f t="shared" si="14"/>
        <v>1</v>
      </c>
    </row>
    <row r="127" spans="1:15" x14ac:dyDescent="0.3">
      <c r="A127" s="7">
        <v>126</v>
      </c>
      <c r="B127" s="8">
        <v>45927</v>
      </c>
      <c r="C127" s="7" t="s">
        <v>216</v>
      </c>
      <c r="D127" s="7" t="s">
        <v>103</v>
      </c>
      <c r="E127" s="7" t="s">
        <v>104</v>
      </c>
      <c r="F127" s="7" t="s">
        <v>19</v>
      </c>
      <c r="G127" s="7" t="s">
        <v>1776</v>
      </c>
      <c r="H127" s="7" t="s">
        <v>48</v>
      </c>
      <c r="I127" s="7" cm="1">
        <f t="array" ref="I127">IF(OR(D127="", E127="", F127=""), "",
   INDEX(积分标准!$D$2:$D$100, MATCH(1,
       (积分标准!$A$2:$A$100=D127) *
       (积分标准!$B$2:$B$100=E127) *
       (积分标准!$C$2:$C$100=F127), 0)) +
   IF(H127="是", 0.5, 0))</f>
        <v>1</v>
      </c>
      <c r="J127" s="7" t="s">
        <v>127</v>
      </c>
      <c r="K127" s="22">
        <v>8682839</v>
      </c>
      <c r="L127" s="7" t="s">
        <v>1770</v>
      </c>
      <c r="M127" s="7">
        <v>1</v>
      </c>
      <c r="N127" s="7">
        <v>1</v>
      </c>
      <c r="O127" s="11">
        <f t="shared" si="14"/>
        <v>1</v>
      </c>
    </row>
    <row r="128" spans="1:15" x14ac:dyDescent="0.3">
      <c r="A128" s="7">
        <v>127</v>
      </c>
      <c r="B128" s="8">
        <v>45809</v>
      </c>
      <c r="C128" s="7" t="s">
        <v>88</v>
      </c>
      <c r="D128" s="7" t="s">
        <v>103</v>
      </c>
      <c r="E128" s="7" t="s">
        <v>104</v>
      </c>
      <c r="F128" s="7" t="s">
        <v>17</v>
      </c>
      <c r="G128" s="7" t="s">
        <v>1773</v>
      </c>
      <c r="H128" s="7" t="s">
        <v>48</v>
      </c>
      <c r="I128" s="7" cm="1">
        <f t="array" ref="I128">IF(OR(D128="", E128="", F128=""), "",
   INDEX(积分标准!$D$2:$D$100, MATCH(1,
       (积分标准!$A$2:$A$100=D128) *
       (积分标准!$B$2:$B$100=E128) *
       (积分标准!$C$2:$C$100=F128), 0)) +
   IF(H128="是", 0.5, 0))</f>
        <v>3</v>
      </c>
      <c r="J128" s="7" t="s">
        <v>399</v>
      </c>
      <c r="K128" s="22">
        <v>8674026</v>
      </c>
      <c r="L128" s="7" t="s">
        <v>1771</v>
      </c>
      <c r="M128" s="7">
        <v>1</v>
      </c>
      <c r="N128" s="7">
        <v>1</v>
      </c>
      <c r="O128" s="11">
        <f t="shared" ref="O128:O129" si="15">M128/N128*I128</f>
        <v>3</v>
      </c>
    </row>
    <row r="129" spans="1:15" x14ac:dyDescent="0.3">
      <c r="A129" s="7">
        <v>128</v>
      </c>
      <c r="B129" s="8">
        <v>45809</v>
      </c>
      <c r="C129" s="7" t="s">
        <v>55</v>
      </c>
      <c r="D129" s="7" t="s">
        <v>103</v>
      </c>
      <c r="E129" s="7" t="s">
        <v>104</v>
      </c>
      <c r="F129" s="7" t="s">
        <v>19</v>
      </c>
      <c r="G129" s="7" t="s">
        <v>1773</v>
      </c>
      <c r="H129" s="7" t="s">
        <v>48</v>
      </c>
      <c r="I129" s="7" cm="1">
        <f t="array" ref="I129">IF(OR(D129="", E129="", F129=""), "",
   INDEX(积分标准!$D$2:$D$100, MATCH(1,
       (积分标准!$A$2:$A$100=D129) *
       (积分标准!$B$2:$B$100=E129) *
       (积分标准!$C$2:$C$100=F129), 0)) +
   IF(H129="是", 0.5, 0))</f>
        <v>1</v>
      </c>
      <c r="J129" s="7" t="s">
        <v>365</v>
      </c>
      <c r="K129" s="22">
        <v>8673985</v>
      </c>
      <c r="L129" s="7" t="s">
        <v>1772</v>
      </c>
      <c r="M129" s="7">
        <v>1</v>
      </c>
      <c r="N129" s="7">
        <v>1</v>
      </c>
      <c r="O129" s="11">
        <f t="shared" si="15"/>
        <v>1</v>
      </c>
    </row>
    <row r="130" spans="1:15" x14ac:dyDescent="0.3">
      <c r="A130" s="7">
        <v>129</v>
      </c>
      <c r="B130" s="8">
        <v>45901</v>
      </c>
      <c r="C130" s="7" t="s">
        <v>88</v>
      </c>
      <c r="D130" s="7" t="s">
        <v>103</v>
      </c>
      <c r="E130" s="7" t="s">
        <v>1761</v>
      </c>
      <c r="F130" s="7" t="s">
        <v>19</v>
      </c>
      <c r="G130" s="7" t="s">
        <v>1774</v>
      </c>
      <c r="H130" s="7" t="s">
        <v>48</v>
      </c>
      <c r="I130" s="7" cm="1">
        <f t="array" ref="I130">IF(OR(D130="", E130="", F130=""), "",
   INDEX(积分标准!$D$2:$D$100, MATCH(1,
       (积分标准!$A$2:$A$100=D130) *
       (积分标准!$B$2:$B$100=E130) *
       (积分标准!$C$2:$C$100=F130), 0)) +
   IF(H130="是", 0.5, 0))</f>
        <v>2</v>
      </c>
      <c r="J130" s="7" t="s">
        <v>674</v>
      </c>
      <c r="K130" s="22">
        <v>8679420</v>
      </c>
      <c r="L130" s="7" t="s">
        <v>1772</v>
      </c>
      <c r="M130" s="7">
        <v>1</v>
      </c>
      <c r="N130" s="7">
        <v>1</v>
      </c>
      <c r="O130" s="11">
        <f t="shared" ref="O130" si="16">M130/N130*I130</f>
        <v>2</v>
      </c>
    </row>
    <row r="131" spans="1:15" x14ac:dyDescent="0.3">
      <c r="A131" s="7">
        <v>130</v>
      </c>
      <c r="B131" s="8">
        <v>45931</v>
      </c>
      <c r="C131" s="7" t="s">
        <v>87</v>
      </c>
      <c r="D131" s="7" t="s">
        <v>53</v>
      </c>
      <c r="E131" s="7" t="s">
        <v>149</v>
      </c>
      <c r="F131" s="7" t="s">
        <v>135</v>
      </c>
      <c r="G131" s="7" t="s">
        <v>1777</v>
      </c>
      <c r="H131" s="7" t="s">
        <v>48</v>
      </c>
      <c r="I131" s="7" cm="1">
        <f t="array" ref="I131">IF(OR(D131="", E131="", F131=""), "",
   INDEX(积分标准!$D$2:$D$100, MATCH(1,
       (积分标准!$A$2:$A$100=D131) *
       (积分标准!$B$2:$B$100=E131) *
       (积分标准!$C$2:$C$100=F131), 0)) +
   IF(H131="是", 0.5, 0))</f>
        <v>1</v>
      </c>
      <c r="J131" s="7" t="s">
        <v>89</v>
      </c>
      <c r="K131" s="7">
        <v>8674056</v>
      </c>
      <c r="M131" s="7">
        <v>1</v>
      </c>
      <c r="N131" s="7">
        <v>1</v>
      </c>
      <c r="O131" s="11">
        <f t="shared" ref="O131:O141" si="17">M131/N131*I131</f>
        <v>1</v>
      </c>
    </row>
    <row r="132" spans="1:15" x14ac:dyDescent="0.3">
      <c r="A132" s="7">
        <v>131</v>
      </c>
      <c r="B132" s="8">
        <v>45931</v>
      </c>
      <c r="C132" s="7" t="s">
        <v>87</v>
      </c>
      <c r="D132" s="7" t="s">
        <v>53</v>
      </c>
      <c r="E132" s="7" t="s">
        <v>149</v>
      </c>
      <c r="F132" s="7" t="s">
        <v>135</v>
      </c>
      <c r="G132" s="7" t="s">
        <v>1778</v>
      </c>
      <c r="H132" s="7" t="s">
        <v>48</v>
      </c>
      <c r="I132" s="7" cm="1">
        <f t="array" ref="I132">IF(OR(D132="", E132="", F132=""), "",
   INDEX(积分标准!$D$2:$D$100, MATCH(1,
       (积分标准!$A$2:$A$100=D132) *
       (积分标准!$B$2:$B$100=E132) *
       (积分标准!$C$2:$C$100=F132), 0)) +
   IF(H132="是", 0.5, 0))</f>
        <v>1</v>
      </c>
      <c r="J132" s="7" t="s">
        <v>89</v>
      </c>
      <c r="K132" s="7">
        <v>8674056</v>
      </c>
      <c r="M132" s="7">
        <v>1</v>
      </c>
      <c r="N132" s="7">
        <v>1</v>
      </c>
      <c r="O132" s="11">
        <f t="shared" si="17"/>
        <v>1</v>
      </c>
    </row>
    <row r="133" spans="1:15" x14ac:dyDescent="0.3">
      <c r="A133" s="7">
        <v>132</v>
      </c>
      <c r="B133" s="8">
        <v>45931</v>
      </c>
      <c r="C133" s="7" t="s">
        <v>52</v>
      </c>
      <c r="D133" s="7" t="s">
        <v>53</v>
      </c>
      <c r="E133" s="7" t="s">
        <v>149</v>
      </c>
      <c r="F133" s="7" t="s">
        <v>135</v>
      </c>
      <c r="G133" s="7" t="s">
        <v>1779</v>
      </c>
      <c r="H133" s="7" t="s">
        <v>48</v>
      </c>
      <c r="I133" s="7" cm="1">
        <f t="array" ref="I133">IF(OR(D133="", E133="", F133=""), "",
   INDEX(积分标准!$D$2:$D$100, MATCH(1,
       (积分标准!$A$2:$A$100=D133) *
       (积分标准!$B$2:$B$100=E133) *
       (积分标准!$C$2:$C$100=F133), 0)) +
   IF(H133="是", 0.5, 0))</f>
        <v>1</v>
      </c>
      <c r="J133" s="7" t="s">
        <v>77</v>
      </c>
      <c r="K133" s="7">
        <v>8673998</v>
      </c>
      <c r="M133" s="7">
        <v>1</v>
      </c>
      <c r="N133" s="7">
        <v>1</v>
      </c>
      <c r="O133" s="11">
        <f t="shared" si="17"/>
        <v>1</v>
      </c>
    </row>
    <row r="134" spans="1:15" x14ac:dyDescent="0.3">
      <c r="A134" s="7">
        <v>133</v>
      </c>
      <c r="B134" s="8">
        <v>45931</v>
      </c>
      <c r="C134" s="7" t="s">
        <v>212</v>
      </c>
      <c r="D134" s="7" t="s">
        <v>53</v>
      </c>
      <c r="E134" s="7" t="s">
        <v>149</v>
      </c>
      <c r="F134" s="7" t="s">
        <v>135</v>
      </c>
      <c r="G134" s="7" t="s">
        <v>1780</v>
      </c>
      <c r="H134" s="7" t="s">
        <v>48</v>
      </c>
      <c r="I134" s="7" cm="1">
        <f t="array" ref="I134">IF(OR(D134="", E134="", F134=""), "",
   INDEX(积分标准!$D$2:$D$100, MATCH(1,
       (积分标准!$A$2:$A$100=D134) *
       (积分标准!$B$2:$B$100=E134) *
       (积分标准!$C$2:$C$100=F134), 0)) +
   IF(H134="是", 0.5, 0))</f>
        <v>1</v>
      </c>
      <c r="J134" s="7" t="s">
        <v>63</v>
      </c>
      <c r="K134" s="7">
        <v>8676591</v>
      </c>
      <c r="M134" s="7">
        <v>1</v>
      </c>
      <c r="N134" s="7">
        <v>1</v>
      </c>
      <c r="O134" s="11">
        <f t="shared" si="17"/>
        <v>1</v>
      </c>
    </row>
    <row r="135" spans="1:15" x14ac:dyDescent="0.3">
      <c r="A135" s="7">
        <v>134</v>
      </c>
      <c r="B135" s="8">
        <v>45839</v>
      </c>
      <c r="C135" s="7" t="s">
        <v>2</v>
      </c>
      <c r="D135" s="7" t="s">
        <v>103</v>
      </c>
      <c r="E135" s="7" t="s">
        <v>104</v>
      </c>
      <c r="F135" s="7" t="s">
        <v>18</v>
      </c>
      <c r="G135" s="7" t="s">
        <v>1781</v>
      </c>
      <c r="H135" s="7" t="s">
        <v>48</v>
      </c>
      <c r="I135" s="7" cm="1">
        <f t="array" ref="I135">IF(OR(D135="", E135="", F135=""), "",
   INDEX(积分标准!$D$2:$D$100, MATCH(1,
       (积分标准!$A$2:$A$100=D135) *
       (积分标准!$B$2:$B$100=E135) *
       (积分标准!$C$2:$C$100=F135), 0)) +
   IF(H135="是", 0.5, 0))</f>
        <v>2</v>
      </c>
      <c r="J135" s="7" t="s">
        <v>440</v>
      </c>
      <c r="K135" s="7">
        <v>8674444</v>
      </c>
      <c r="M135" s="7">
        <v>1</v>
      </c>
      <c r="N135" s="7">
        <v>1</v>
      </c>
      <c r="O135" s="11">
        <f t="shared" si="17"/>
        <v>2</v>
      </c>
    </row>
    <row r="136" spans="1:15" x14ac:dyDescent="0.3">
      <c r="A136" s="7">
        <v>135</v>
      </c>
      <c r="B136" s="8">
        <v>45839</v>
      </c>
      <c r="C136" s="7" t="s">
        <v>217</v>
      </c>
      <c r="D136" s="7" t="s">
        <v>103</v>
      </c>
      <c r="E136" s="7" t="s">
        <v>104</v>
      </c>
      <c r="F136" s="7" t="s">
        <v>18</v>
      </c>
      <c r="G136" s="7" t="s">
        <v>1781</v>
      </c>
      <c r="H136" s="7" t="s">
        <v>48</v>
      </c>
      <c r="I136" s="7" cm="1">
        <f t="array" ref="I136">IF(OR(D136="", E136="", F136=""), "",
   INDEX(积分标准!$D$2:$D$100, MATCH(1,
       (积分标准!$A$2:$A$100=D136) *
       (积分标准!$B$2:$B$100=E136) *
       (积分标准!$C$2:$C$100=F136), 0)) +
   IF(H136="是", 0.5, 0))</f>
        <v>2</v>
      </c>
      <c r="J136" s="7" t="s">
        <v>277</v>
      </c>
      <c r="K136" s="22">
        <v>8684738</v>
      </c>
      <c r="M136" s="7">
        <v>0.25</v>
      </c>
      <c r="N136" s="7">
        <v>1</v>
      </c>
      <c r="O136" s="11">
        <f t="shared" si="17"/>
        <v>0.5</v>
      </c>
    </row>
    <row r="137" spans="1:15" x14ac:dyDescent="0.3">
      <c r="A137" s="7">
        <v>136</v>
      </c>
      <c r="B137" s="8">
        <v>45839</v>
      </c>
      <c r="C137" s="7" t="s">
        <v>243</v>
      </c>
      <c r="D137" s="7" t="s">
        <v>103</v>
      </c>
      <c r="E137" s="7" t="s">
        <v>104</v>
      </c>
      <c r="F137" s="7" t="s">
        <v>18</v>
      </c>
      <c r="G137" s="7" t="s">
        <v>1781</v>
      </c>
      <c r="H137" s="7" t="s">
        <v>48</v>
      </c>
      <c r="I137" s="7" cm="1">
        <f t="array" ref="I137">IF(OR(D137="", E137="", F137=""), "",
   INDEX(积分标准!$D$2:$D$100, MATCH(1,
       (积分标准!$A$2:$A$100=D137) *
       (积分标准!$B$2:$B$100=E137) *
       (积分标准!$C$2:$C$100=F137), 0)) +
   IF(H137="是", 0.5, 0))</f>
        <v>2</v>
      </c>
      <c r="J137" s="7" t="s">
        <v>1115</v>
      </c>
      <c r="K137" s="22">
        <v>8682042</v>
      </c>
      <c r="M137" s="7">
        <v>0.25</v>
      </c>
      <c r="N137" s="7">
        <v>1</v>
      </c>
      <c r="O137" s="11">
        <f t="shared" si="17"/>
        <v>0.5</v>
      </c>
    </row>
    <row r="138" spans="1:15" x14ac:dyDescent="0.3">
      <c r="A138" s="7">
        <v>137</v>
      </c>
      <c r="B138" s="8">
        <v>45839</v>
      </c>
      <c r="C138" s="7" t="s">
        <v>243</v>
      </c>
      <c r="D138" s="7" t="s">
        <v>103</v>
      </c>
      <c r="E138" s="7" t="s">
        <v>104</v>
      </c>
      <c r="F138" s="7" t="s">
        <v>18</v>
      </c>
      <c r="G138" s="7" t="s">
        <v>1781</v>
      </c>
      <c r="H138" s="7" t="s">
        <v>48</v>
      </c>
      <c r="I138" s="7" cm="1">
        <f t="array" ref="I138">IF(OR(D138="", E138="", F138=""), "",
   INDEX(积分标准!$D$2:$D$100, MATCH(1,
       (积分标准!$A$2:$A$100=D138) *
       (积分标准!$B$2:$B$100=E138) *
       (积分标准!$C$2:$C$100=F138), 0)) +
   IF(H138="是", 0.5, 0))</f>
        <v>2</v>
      </c>
      <c r="J138" s="7" t="s">
        <v>1427</v>
      </c>
      <c r="K138" s="22">
        <v>8688875</v>
      </c>
      <c r="M138" s="7">
        <v>0.25</v>
      </c>
      <c r="N138" s="7">
        <v>1</v>
      </c>
      <c r="O138" s="11">
        <f t="shared" si="17"/>
        <v>0.5</v>
      </c>
    </row>
    <row r="139" spans="1:15" x14ac:dyDescent="0.3">
      <c r="A139" s="7">
        <v>138</v>
      </c>
      <c r="B139" s="8">
        <v>45839</v>
      </c>
      <c r="C139" s="7" t="s">
        <v>243</v>
      </c>
      <c r="D139" s="7" t="s">
        <v>103</v>
      </c>
      <c r="E139" s="7" t="s">
        <v>104</v>
      </c>
      <c r="F139" s="7" t="s">
        <v>18</v>
      </c>
      <c r="G139" s="7" t="s">
        <v>1781</v>
      </c>
      <c r="H139" s="7" t="s">
        <v>48</v>
      </c>
      <c r="I139" s="7" cm="1">
        <f t="array" ref="I139">IF(OR(D139="", E139="", F139=""), "",
   INDEX(积分标准!$D$2:$D$100, MATCH(1,
       (积分标准!$A$2:$A$100=D139) *
       (积分标准!$B$2:$B$100=E139) *
       (积分标准!$C$2:$C$100=F139), 0)) +
   IF(H139="是", 0.5, 0))</f>
        <v>2</v>
      </c>
      <c r="J139" s="7" t="s">
        <v>896</v>
      </c>
      <c r="K139" s="22">
        <v>8681190</v>
      </c>
      <c r="M139" s="7">
        <v>0.25</v>
      </c>
      <c r="N139" s="7">
        <v>1</v>
      </c>
      <c r="O139" s="11">
        <f t="shared" si="17"/>
        <v>0.5</v>
      </c>
    </row>
    <row r="140" spans="1:15" x14ac:dyDescent="0.3">
      <c r="A140" s="7">
        <v>139</v>
      </c>
      <c r="B140" s="8">
        <v>45839</v>
      </c>
      <c r="C140" s="7" t="s">
        <v>55</v>
      </c>
      <c r="D140" s="7" t="s">
        <v>103</v>
      </c>
      <c r="E140" s="7" t="s">
        <v>104</v>
      </c>
      <c r="F140" s="7" t="s">
        <v>19</v>
      </c>
      <c r="G140" s="7" t="s">
        <v>1781</v>
      </c>
      <c r="H140" s="7" t="s">
        <v>48</v>
      </c>
      <c r="I140" s="7" cm="1">
        <f t="array" ref="I140">IF(OR(D140="", E140="", F140=""), "",
   INDEX(积分标准!$D$2:$D$100, MATCH(1,
       (积分标准!$A$2:$A$100=D140) *
       (积分标准!$B$2:$B$100=E140) *
       (积分标准!$C$2:$C$100=F140), 0)) +
   IF(H140="是", 0.5, 0))</f>
        <v>1</v>
      </c>
      <c r="J140" s="7" t="s">
        <v>848</v>
      </c>
      <c r="K140" s="22">
        <v>8679999</v>
      </c>
      <c r="M140" s="7">
        <v>0.5</v>
      </c>
      <c r="N140" s="7">
        <v>1</v>
      </c>
      <c r="O140" s="11">
        <f t="shared" si="17"/>
        <v>0.5</v>
      </c>
    </row>
    <row r="141" spans="1:15" x14ac:dyDescent="0.3">
      <c r="A141" s="7">
        <v>140</v>
      </c>
      <c r="B141" s="8">
        <v>45839</v>
      </c>
      <c r="C141" s="7" t="s">
        <v>55</v>
      </c>
      <c r="D141" s="7" t="s">
        <v>103</v>
      </c>
      <c r="E141" s="7" t="s">
        <v>104</v>
      </c>
      <c r="F141" s="7" t="s">
        <v>19</v>
      </c>
      <c r="G141" s="7" t="s">
        <v>1781</v>
      </c>
      <c r="H141" s="7" t="s">
        <v>48</v>
      </c>
      <c r="I141" s="7" cm="1">
        <f t="array" ref="I141">IF(OR(D141="", E141="", F141=""), "",
   INDEX(积分标准!$D$2:$D$100, MATCH(1,
       (积分标准!$A$2:$A$100=D141) *
       (积分标准!$B$2:$B$100=E141) *
       (积分标准!$C$2:$C$100=F141), 0)) +
   IF(H141="是", 0.5, 0))</f>
        <v>1</v>
      </c>
      <c r="J141" s="7" t="s">
        <v>456</v>
      </c>
      <c r="K141" s="22">
        <v>8673982</v>
      </c>
      <c r="M141" s="7">
        <v>0.5</v>
      </c>
      <c r="N141" s="7">
        <v>1</v>
      </c>
      <c r="O141" s="11">
        <f t="shared" si="17"/>
        <v>0.5</v>
      </c>
    </row>
    <row r="142" spans="1:15" x14ac:dyDescent="0.3">
      <c r="A142" s="7">
        <v>141</v>
      </c>
      <c r="B142" s="8">
        <v>45962</v>
      </c>
      <c r="C142" s="7" t="s">
        <v>52</v>
      </c>
      <c r="D142" s="7" t="s">
        <v>53</v>
      </c>
      <c r="E142" s="7" t="s">
        <v>149</v>
      </c>
      <c r="F142" s="7" t="s">
        <v>135</v>
      </c>
      <c r="G142" s="7" t="s">
        <v>1783</v>
      </c>
      <c r="H142" s="7" t="s">
        <v>29</v>
      </c>
      <c r="I142" s="7" cm="1">
        <f t="array" ref="I142">IF(OR(D142="", E142="", F142=""), "",
   INDEX(积分标准!$D$2:$D$100, MATCH(1,
       (积分标准!$A$2:$A$100=D142) *
       (积分标准!$B$2:$B$100=E142) *
       (积分标准!$C$2:$C$100=F142), 0)) +
   IF(H142="是", 0.5, 0))</f>
        <v>1.5</v>
      </c>
      <c r="J142" s="7" t="s">
        <v>106</v>
      </c>
      <c r="K142" s="7">
        <v>8687986</v>
      </c>
      <c r="M142" s="7">
        <v>1</v>
      </c>
      <c r="N142" s="7">
        <v>1</v>
      </c>
      <c r="O142" s="11">
        <f t="shared" ref="O142:O163" si="18">M142/N142*I142</f>
        <v>1.5</v>
      </c>
    </row>
    <row r="143" spans="1:15" x14ac:dyDescent="0.3">
      <c r="A143" s="7">
        <v>142</v>
      </c>
      <c r="B143" s="8">
        <v>45962</v>
      </c>
      <c r="C143" s="7" t="s">
        <v>0</v>
      </c>
      <c r="D143" s="7" t="s">
        <v>53</v>
      </c>
      <c r="E143" s="7" t="s">
        <v>149</v>
      </c>
      <c r="F143" s="7" t="s">
        <v>135</v>
      </c>
      <c r="G143" s="7" t="s">
        <v>1784</v>
      </c>
      <c r="H143" s="7" t="s">
        <v>29</v>
      </c>
      <c r="I143" s="7" cm="1">
        <f t="array" ref="I143">IF(OR(D143="", E143="", F143=""), "",
   INDEX(积分标准!$D$2:$D$100, MATCH(1,
       (积分标准!$A$2:$A$100=D143) *
       (积分标准!$B$2:$B$100=E143) *
       (积分标准!$C$2:$C$100=F143), 0)) +
   IF(H143="是", 0.5, 0))</f>
        <v>1.5</v>
      </c>
      <c r="J143" s="7" t="s">
        <v>196</v>
      </c>
      <c r="K143" s="7">
        <v>8676584</v>
      </c>
      <c r="M143" s="7">
        <v>1</v>
      </c>
      <c r="N143" s="7">
        <v>1</v>
      </c>
      <c r="O143" s="11">
        <f t="shared" si="18"/>
        <v>1.5</v>
      </c>
    </row>
    <row r="144" spans="1:15" x14ac:dyDescent="0.3">
      <c r="A144" s="7">
        <v>143</v>
      </c>
      <c r="B144" s="8">
        <v>45962</v>
      </c>
      <c r="C144" s="7" t="s">
        <v>214</v>
      </c>
      <c r="D144" s="7" t="s">
        <v>53</v>
      </c>
      <c r="E144" s="7" t="s">
        <v>149</v>
      </c>
      <c r="F144" s="7" t="s">
        <v>1709</v>
      </c>
      <c r="G144" s="7" t="s">
        <v>1785</v>
      </c>
      <c r="H144" s="7" t="s">
        <v>48</v>
      </c>
      <c r="I144" s="7" cm="1">
        <f t="array" ref="I144">IF(OR(D144="", E144="", F144=""), "",
   INDEX(积分标准!$D$2:$D$100, MATCH(1,
       (积分标准!$A$2:$A$100=D144) *
       (积分标准!$B$2:$B$100=E144) *
       (积分标准!$C$2:$C$100=F144), 0)) +
   IF(H144="是", 0.5, 0))</f>
        <v>2</v>
      </c>
      <c r="J144" s="7" t="s">
        <v>201</v>
      </c>
      <c r="K144" s="7">
        <v>8681396</v>
      </c>
      <c r="M144" s="7">
        <v>1</v>
      </c>
      <c r="N144" s="7">
        <v>1</v>
      </c>
      <c r="O144" s="11">
        <f t="shared" si="18"/>
        <v>2</v>
      </c>
    </row>
    <row r="145" spans="1:15" x14ac:dyDescent="0.3">
      <c r="A145" s="7">
        <v>144</v>
      </c>
      <c r="B145" s="8">
        <v>45962</v>
      </c>
      <c r="C145" s="7" t="s">
        <v>52</v>
      </c>
      <c r="D145" s="7" t="s">
        <v>53</v>
      </c>
      <c r="E145" s="7" t="s">
        <v>149</v>
      </c>
      <c r="F145" s="7" t="s">
        <v>135</v>
      </c>
      <c r="G145" s="7" t="s">
        <v>1786</v>
      </c>
      <c r="H145" s="7" t="s">
        <v>29</v>
      </c>
      <c r="I145" s="7" cm="1">
        <f t="array" ref="I145">IF(OR(D145="", E145="", F145=""), "",
   INDEX(积分标准!$D$2:$D$100, MATCH(1,
       (积分标准!$A$2:$A$100=D145) *
       (积分标准!$B$2:$B$100=E145) *
       (积分标准!$C$2:$C$100=F145), 0)) +
   IF(H145="是", 0.5, 0))</f>
        <v>1.5</v>
      </c>
      <c r="J145" s="7" t="s">
        <v>534</v>
      </c>
      <c r="K145" s="7">
        <v>8613369</v>
      </c>
      <c r="M145" s="7">
        <v>1</v>
      </c>
      <c r="N145" s="7">
        <v>1</v>
      </c>
      <c r="O145" s="11">
        <f t="shared" si="18"/>
        <v>1.5</v>
      </c>
    </row>
    <row r="146" spans="1:15" x14ac:dyDescent="0.3">
      <c r="A146" s="7">
        <v>145</v>
      </c>
      <c r="B146" s="8">
        <v>45962</v>
      </c>
      <c r="C146" s="7" t="s">
        <v>55</v>
      </c>
      <c r="D146" s="7" t="s">
        <v>53</v>
      </c>
      <c r="E146" s="7" t="s">
        <v>149</v>
      </c>
      <c r="F146" s="7" t="s">
        <v>135</v>
      </c>
      <c r="G146" s="7" t="s">
        <v>1787</v>
      </c>
      <c r="H146" s="7" t="s">
        <v>29</v>
      </c>
      <c r="I146" s="7" cm="1">
        <f t="array" ref="I146">IF(OR(D146="", E146="", F146=""), "",
   INDEX(积分标准!$D$2:$D$100, MATCH(1,
       (积分标准!$A$2:$A$100=D146) *
       (积分标准!$B$2:$B$100=E146) *
       (积分标准!$C$2:$C$100=F146), 0)) +
   IF(H146="是", 0.5, 0))</f>
        <v>1.5</v>
      </c>
      <c r="J146" s="7" t="s">
        <v>405</v>
      </c>
      <c r="K146" s="7">
        <v>8674030</v>
      </c>
      <c r="M146" s="7">
        <v>1</v>
      </c>
      <c r="N146" s="7">
        <v>1</v>
      </c>
      <c r="O146" s="11">
        <f t="shared" si="18"/>
        <v>1.5</v>
      </c>
    </row>
    <row r="147" spans="1:15" x14ac:dyDescent="0.3">
      <c r="A147" s="7">
        <v>146</v>
      </c>
      <c r="B147" s="8">
        <v>45962</v>
      </c>
      <c r="C147" s="7" t="s">
        <v>87</v>
      </c>
      <c r="D147" s="7" t="s">
        <v>53</v>
      </c>
      <c r="E147" s="7" t="s">
        <v>149</v>
      </c>
      <c r="F147" s="7" t="s">
        <v>135</v>
      </c>
      <c r="G147" s="7" t="s">
        <v>1788</v>
      </c>
      <c r="H147" s="7" t="s">
        <v>29</v>
      </c>
      <c r="I147" s="7" cm="1">
        <f t="array" ref="I147">IF(OR(D147="", E147="", F147=""), "",
   INDEX(积分标准!$D$2:$D$100, MATCH(1,
       (积分标准!$A$2:$A$100=D147) *
       (积分标准!$B$2:$B$100=E147) *
       (积分标准!$C$2:$C$100=F147), 0)) +
   IF(H147="是", 0.5, 0))</f>
        <v>1.5</v>
      </c>
      <c r="J147" s="7" t="s">
        <v>822</v>
      </c>
      <c r="K147" s="7">
        <v>8679950</v>
      </c>
      <c r="M147" s="7">
        <v>1</v>
      </c>
      <c r="N147" s="7">
        <v>1</v>
      </c>
      <c r="O147" s="11">
        <f t="shared" si="18"/>
        <v>1.5</v>
      </c>
    </row>
    <row r="148" spans="1:15" x14ac:dyDescent="0.3">
      <c r="A148" s="7">
        <v>147</v>
      </c>
      <c r="B148" s="8">
        <v>45962</v>
      </c>
      <c r="C148" s="7" t="s">
        <v>140</v>
      </c>
      <c r="D148" s="7" t="s">
        <v>53</v>
      </c>
      <c r="E148" s="7" t="s">
        <v>149</v>
      </c>
      <c r="F148" s="7" t="s">
        <v>135</v>
      </c>
      <c r="G148" s="7" t="s">
        <v>1789</v>
      </c>
      <c r="H148" s="7" t="s">
        <v>29</v>
      </c>
      <c r="I148" s="7" cm="1">
        <f t="array" ref="I148">IF(OR(D148="", E148="", F148=""), "",
   INDEX(积分标准!$D$2:$D$100, MATCH(1,
       (积分标准!$A$2:$A$100=D148) *
       (积分标准!$B$2:$B$100=E148) *
       (积分标准!$C$2:$C$100=F148), 0)) +
   IF(H148="是", 0.5, 0))</f>
        <v>1.5</v>
      </c>
      <c r="J148" s="7" t="s">
        <v>314</v>
      </c>
      <c r="K148" s="7">
        <v>8692280</v>
      </c>
      <c r="M148" s="7">
        <v>1</v>
      </c>
      <c r="N148" s="7">
        <v>1</v>
      </c>
      <c r="O148" s="11">
        <f t="shared" si="18"/>
        <v>1.5</v>
      </c>
    </row>
    <row r="149" spans="1:15" x14ac:dyDescent="0.3">
      <c r="A149" s="7">
        <v>148</v>
      </c>
      <c r="B149" s="8">
        <v>45962</v>
      </c>
      <c r="C149" s="7" t="s">
        <v>216</v>
      </c>
      <c r="D149" s="7" t="s">
        <v>53</v>
      </c>
      <c r="E149" s="7" t="s">
        <v>149</v>
      </c>
      <c r="F149" s="7" t="s">
        <v>135</v>
      </c>
      <c r="G149" s="7" t="s">
        <v>1790</v>
      </c>
      <c r="H149" s="7" t="s">
        <v>29</v>
      </c>
      <c r="I149" s="7" cm="1">
        <f t="array" ref="I149">IF(OR(D149="", E149="", F149=""), "",
   INDEX(积分标准!$D$2:$D$100, MATCH(1,
       (积分标准!$A$2:$A$100=D149) *
       (积分标准!$B$2:$B$100=E149) *
       (积分标准!$C$2:$C$100=F149), 0)) +
   IF(H149="是", 0.5, 0))</f>
        <v>1.5</v>
      </c>
      <c r="J149" s="7" t="s">
        <v>342</v>
      </c>
      <c r="K149" s="7">
        <v>8730581</v>
      </c>
      <c r="M149" s="7">
        <v>1</v>
      </c>
      <c r="N149" s="7">
        <v>1</v>
      </c>
      <c r="O149" s="11">
        <f t="shared" si="18"/>
        <v>1.5</v>
      </c>
    </row>
    <row r="150" spans="1:15" x14ac:dyDescent="0.3">
      <c r="A150" s="7">
        <v>149</v>
      </c>
      <c r="B150" s="8">
        <v>45962</v>
      </c>
      <c r="C150" s="7" t="s">
        <v>52</v>
      </c>
      <c r="D150" s="7" t="s">
        <v>53</v>
      </c>
      <c r="E150" s="7" t="s">
        <v>149</v>
      </c>
      <c r="F150" s="7" t="s">
        <v>135</v>
      </c>
      <c r="G150" s="7" t="s">
        <v>1791</v>
      </c>
      <c r="H150" s="7" t="s">
        <v>48</v>
      </c>
      <c r="I150" s="7" cm="1">
        <f t="array" ref="I150">IF(OR(D150="", E150="", F150=""), "",
   INDEX(积分标准!$D$2:$D$100, MATCH(1,
       (积分标准!$A$2:$A$100=D150) *
       (积分标准!$B$2:$B$100=E150) *
       (积分标准!$C$2:$C$100=F150), 0)) +
   IF(H150="是", 0.5, 0))</f>
        <v>1</v>
      </c>
      <c r="J150" s="7" t="s">
        <v>77</v>
      </c>
      <c r="K150" s="7">
        <v>8673998</v>
      </c>
      <c r="M150" s="7">
        <v>1</v>
      </c>
      <c r="N150" s="7">
        <v>1</v>
      </c>
      <c r="O150" s="11">
        <f t="shared" si="18"/>
        <v>1</v>
      </c>
    </row>
    <row r="151" spans="1:15" x14ac:dyDescent="0.3">
      <c r="A151" s="7">
        <v>150</v>
      </c>
      <c r="B151" s="8">
        <v>45962</v>
      </c>
      <c r="C151" s="7" t="s">
        <v>52</v>
      </c>
      <c r="D151" s="7" t="s">
        <v>53</v>
      </c>
      <c r="E151" s="7" t="s">
        <v>149</v>
      </c>
      <c r="F151" s="7" t="s">
        <v>135</v>
      </c>
      <c r="G151" s="7" t="s">
        <v>1792</v>
      </c>
      <c r="H151" s="7" t="s">
        <v>29</v>
      </c>
      <c r="I151" s="7" cm="1">
        <f t="array" ref="I151">IF(OR(D151="", E151="", F151=""), "",
   INDEX(积分标准!$D$2:$D$100, MATCH(1,
       (积分标准!$A$2:$A$100=D151) *
       (积分标准!$B$2:$B$100=E151) *
       (积分标准!$C$2:$C$100=F151), 0)) +
   IF(H151="是", 0.5, 0))</f>
        <v>1.5</v>
      </c>
      <c r="J151" s="7" t="s">
        <v>188</v>
      </c>
      <c r="K151" s="7">
        <v>8613616</v>
      </c>
      <c r="M151" s="7">
        <v>1</v>
      </c>
      <c r="N151" s="7">
        <v>1</v>
      </c>
      <c r="O151" s="11">
        <f t="shared" si="18"/>
        <v>1.5</v>
      </c>
    </row>
    <row r="152" spans="1:15" x14ac:dyDescent="0.3">
      <c r="A152" s="7">
        <v>151</v>
      </c>
      <c r="B152" s="8">
        <v>45962</v>
      </c>
      <c r="C152" s="7" t="s">
        <v>109</v>
      </c>
      <c r="D152" s="7" t="s">
        <v>53</v>
      </c>
      <c r="E152" s="7" t="s">
        <v>149</v>
      </c>
      <c r="F152" s="7" t="s">
        <v>135</v>
      </c>
      <c r="G152" s="7" t="s">
        <v>1793</v>
      </c>
      <c r="H152" s="7" t="s">
        <v>29</v>
      </c>
      <c r="I152" s="7" cm="1">
        <f t="array" ref="I152">IF(OR(D152="", E152="", F152=""), "",
   INDEX(积分标准!$D$2:$D$100, MATCH(1,
       (积分标准!$A$2:$A$100=D152) *
       (积分标准!$B$2:$B$100=E152) *
       (积分标准!$C$2:$C$100=F152), 0)) +
   IF(H152="是", 0.5, 0))</f>
        <v>1.5</v>
      </c>
      <c r="J152" s="7" t="s">
        <v>323</v>
      </c>
      <c r="K152" s="7">
        <v>8715714</v>
      </c>
      <c r="M152" s="7">
        <v>1</v>
      </c>
      <c r="N152" s="7">
        <v>1</v>
      </c>
      <c r="O152" s="11">
        <f t="shared" si="18"/>
        <v>1.5</v>
      </c>
    </row>
    <row r="153" spans="1:15" x14ac:dyDescent="0.3">
      <c r="A153" s="7">
        <v>152</v>
      </c>
      <c r="B153" s="8">
        <v>45962</v>
      </c>
      <c r="C153" s="7" t="s">
        <v>52</v>
      </c>
      <c r="D153" s="7" t="s">
        <v>53</v>
      </c>
      <c r="E153" s="7" t="s">
        <v>149</v>
      </c>
      <c r="F153" s="7" t="s">
        <v>135</v>
      </c>
      <c r="G153" s="7" t="s">
        <v>1794</v>
      </c>
      <c r="H153" s="7" t="s">
        <v>48</v>
      </c>
      <c r="I153" s="7" cm="1">
        <f t="array" ref="I153">IF(OR(D153="", E153="", F153=""), "",
   INDEX(积分标准!$D$2:$D$100, MATCH(1,
       (积分标准!$A$2:$A$100=D153) *
       (积分标准!$B$2:$B$100=E153) *
       (积分标准!$C$2:$C$100=F153), 0)) +
   IF(H153="是", 0.5, 0))</f>
        <v>1</v>
      </c>
      <c r="J153" s="7" t="s">
        <v>534</v>
      </c>
      <c r="K153" s="7">
        <v>8613369</v>
      </c>
      <c r="M153" s="7">
        <v>1</v>
      </c>
      <c r="N153" s="7">
        <v>1</v>
      </c>
      <c r="O153" s="11">
        <f t="shared" si="18"/>
        <v>1</v>
      </c>
    </row>
    <row r="154" spans="1:15" x14ac:dyDescent="0.3">
      <c r="A154" s="7">
        <v>153</v>
      </c>
      <c r="B154" s="8">
        <v>45962</v>
      </c>
      <c r="C154" s="7" t="s">
        <v>88</v>
      </c>
      <c r="D154" s="7" t="s">
        <v>53</v>
      </c>
      <c r="E154" s="7" t="s">
        <v>149</v>
      </c>
      <c r="F154" s="7" t="s">
        <v>135</v>
      </c>
      <c r="G154" s="7" t="s">
        <v>1795</v>
      </c>
      <c r="H154" s="7" t="s">
        <v>29</v>
      </c>
      <c r="I154" s="7" cm="1">
        <f t="array" ref="I154">IF(OR(D154="", E154="", F154=""), "",
   INDEX(积分标准!$D$2:$D$100, MATCH(1,
       (积分标准!$A$2:$A$100=D154) *
       (积分标准!$B$2:$B$100=E154) *
       (积分标准!$C$2:$C$100=F154), 0)) +
   IF(H154="是", 0.5, 0))</f>
        <v>1.5</v>
      </c>
      <c r="J154" s="7" t="s">
        <v>72</v>
      </c>
      <c r="K154" s="7">
        <v>8698876</v>
      </c>
      <c r="M154" s="7">
        <v>1</v>
      </c>
      <c r="N154" s="7">
        <v>1</v>
      </c>
      <c r="O154" s="11">
        <f t="shared" si="18"/>
        <v>1.5</v>
      </c>
    </row>
    <row r="155" spans="1:15" x14ac:dyDescent="0.3">
      <c r="A155" s="7">
        <v>154</v>
      </c>
      <c r="B155" s="8">
        <v>45962</v>
      </c>
      <c r="C155" s="7" t="s">
        <v>52</v>
      </c>
      <c r="D155" s="7" t="s">
        <v>53</v>
      </c>
      <c r="E155" s="7" t="s">
        <v>149</v>
      </c>
      <c r="F155" s="7" t="s">
        <v>135</v>
      </c>
      <c r="G155" s="7" t="s">
        <v>1796</v>
      </c>
      <c r="H155" s="7" t="s">
        <v>29</v>
      </c>
      <c r="I155" s="7" cm="1">
        <f t="array" ref="I155">IF(OR(D155="", E155="", F155=""), "",
   INDEX(积分标准!$D$2:$D$100, MATCH(1,
       (积分标准!$A$2:$A$100=D155) *
       (积分标准!$B$2:$B$100=E155) *
       (积分标准!$C$2:$C$100=F155), 0)) +
   IF(H155="是", 0.5, 0))</f>
        <v>1.5</v>
      </c>
      <c r="J155" s="7" t="s">
        <v>1805</v>
      </c>
      <c r="K155" s="7">
        <v>8679860</v>
      </c>
      <c r="M155" s="7">
        <v>1</v>
      </c>
      <c r="N155" s="7">
        <v>1</v>
      </c>
      <c r="O155" s="11">
        <f t="shared" si="18"/>
        <v>1.5</v>
      </c>
    </row>
    <row r="156" spans="1:15" x14ac:dyDescent="0.3">
      <c r="A156" s="7">
        <v>155</v>
      </c>
      <c r="B156" s="8">
        <v>45962</v>
      </c>
      <c r="C156" s="7" t="s">
        <v>52</v>
      </c>
      <c r="D156" s="7" t="s">
        <v>53</v>
      </c>
      <c r="E156" s="7" t="s">
        <v>149</v>
      </c>
      <c r="F156" s="7" t="s">
        <v>135</v>
      </c>
      <c r="G156" s="7" t="s">
        <v>1797</v>
      </c>
      <c r="H156" s="7" t="s">
        <v>29</v>
      </c>
      <c r="I156" s="7" cm="1">
        <f t="array" ref="I156">IF(OR(D156="", E156="", F156=""), "",
   INDEX(积分标准!$D$2:$D$100, MATCH(1,
       (积分标准!$A$2:$A$100=D156) *
       (积分标准!$B$2:$B$100=E156) *
       (积分标准!$C$2:$C$100=F156), 0)) +
   IF(H156="是", 0.5, 0))</f>
        <v>1.5</v>
      </c>
      <c r="J156" s="7" t="s">
        <v>1806</v>
      </c>
      <c r="K156" s="7">
        <v>8665428</v>
      </c>
      <c r="M156" s="7">
        <v>1</v>
      </c>
      <c r="N156" s="7">
        <v>1</v>
      </c>
      <c r="O156" s="11">
        <f t="shared" si="18"/>
        <v>1.5</v>
      </c>
    </row>
    <row r="157" spans="1:15" x14ac:dyDescent="0.3">
      <c r="A157" s="7">
        <v>156</v>
      </c>
      <c r="B157" s="8">
        <v>45962</v>
      </c>
      <c r="C157" s="7" t="s">
        <v>87</v>
      </c>
      <c r="D157" s="7" t="s">
        <v>53</v>
      </c>
      <c r="E157" s="7" t="s">
        <v>149</v>
      </c>
      <c r="F157" s="7" t="s">
        <v>135</v>
      </c>
      <c r="G157" s="7" t="s">
        <v>1798</v>
      </c>
      <c r="H157" s="7" t="s">
        <v>29</v>
      </c>
      <c r="I157" s="7" cm="1">
        <f t="array" ref="I157">IF(OR(D157="", E157="", F157=""), "",
   INDEX(积分标准!$D$2:$D$100, MATCH(1,
       (积分标准!$A$2:$A$100=D157) *
       (积分标准!$B$2:$B$100=E157) *
       (积分标准!$C$2:$C$100=F157), 0)) +
   IF(H157="是", 0.5, 0))</f>
        <v>1.5</v>
      </c>
      <c r="J157" s="7" t="s">
        <v>1807</v>
      </c>
      <c r="K157" s="7">
        <v>8674002</v>
      </c>
      <c r="M157" s="7">
        <v>1</v>
      </c>
      <c r="N157" s="7">
        <v>1</v>
      </c>
      <c r="O157" s="11">
        <f t="shared" si="18"/>
        <v>1.5</v>
      </c>
    </row>
    <row r="158" spans="1:15" x14ac:dyDescent="0.3">
      <c r="A158" s="7">
        <v>157</v>
      </c>
      <c r="B158" s="8">
        <v>45962</v>
      </c>
      <c r="C158" s="7" t="s">
        <v>52</v>
      </c>
      <c r="D158" s="7" t="s">
        <v>53</v>
      </c>
      <c r="E158" s="7" t="s">
        <v>149</v>
      </c>
      <c r="F158" s="7" t="s">
        <v>135</v>
      </c>
      <c r="G158" s="7" t="s">
        <v>1799</v>
      </c>
      <c r="H158" s="7" t="s">
        <v>29</v>
      </c>
      <c r="I158" s="7" cm="1">
        <f t="array" ref="I158">IF(OR(D158="", E158="", F158=""), "",
   INDEX(积分标准!$D$2:$D$100, MATCH(1,
       (积分标准!$A$2:$A$100=D158) *
       (积分标准!$B$2:$B$100=E158) *
       (积分标准!$C$2:$C$100=F158), 0)) +
   IF(H158="是", 0.5, 0))</f>
        <v>1.5</v>
      </c>
      <c r="J158" s="7" t="s">
        <v>1808</v>
      </c>
      <c r="K158" s="7">
        <v>8612525</v>
      </c>
      <c r="M158" s="7">
        <v>1</v>
      </c>
      <c r="N158" s="7">
        <v>1</v>
      </c>
      <c r="O158" s="11">
        <f t="shared" si="18"/>
        <v>1.5</v>
      </c>
    </row>
    <row r="159" spans="1:15" x14ac:dyDescent="0.3">
      <c r="A159" s="7">
        <v>158</v>
      </c>
      <c r="B159" s="8">
        <v>45962</v>
      </c>
      <c r="C159" s="7" t="s">
        <v>52</v>
      </c>
      <c r="D159" s="7" t="s">
        <v>53</v>
      </c>
      <c r="E159" s="7" t="s">
        <v>149</v>
      </c>
      <c r="F159" s="7" t="s">
        <v>135</v>
      </c>
      <c r="G159" s="7" t="s">
        <v>1800</v>
      </c>
      <c r="H159" s="7" t="s">
        <v>29</v>
      </c>
      <c r="I159" s="7" cm="1">
        <f t="array" ref="I159">IF(OR(D159="", E159="", F159=""), "",
   INDEX(积分标准!$D$2:$D$100, MATCH(1,
       (积分标准!$A$2:$A$100=D159) *
       (积分标准!$B$2:$B$100=E159) *
       (积分标准!$C$2:$C$100=F159), 0)) +
   IF(H159="是", 0.5, 0))</f>
        <v>1.5</v>
      </c>
      <c r="J159" s="7" t="s">
        <v>1809</v>
      </c>
      <c r="K159" s="7">
        <v>8613221</v>
      </c>
      <c r="M159" s="7">
        <v>1</v>
      </c>
      <c r="N159" s="7">
        <v>1</v>
      </c>
      <c r="O159" s="11">
        <f t="shared" si="18"/>
        <v>1.5</v>
      </c>
    </row>
    <row r="160" spans="1:15" x14ac:dyDescent="0.3">
      <c r="A160" s="7">
        <v>159</v>
      </c>
      <c r="B160" s="8">
        <v>45962</v>
      </c>
      <c r="C160" s="7" t="s">
        <v>212</v>
      </c>
      <c r="D160" s="7" t="s">
        <v>53</v>
      </c>
      <c r="E160" s="7" t="s">
        <v>149</v>
      </c>
      <c r="F160" s="7" t="s">
        <v>135</v>
      </c>
      <c r="G160" s="7" t="s">
        <v>1801</v>
      </c>
      <c r="H160" s="7" t="s">
        <v>29</v>
      </c>
      <c r="I160" s="7" cm="1">
        <f t="array" ref="I160">IF(OR(D160="", E160="", F160=""), "",
   INDEX(积分标准!$D$2:$D$100, MATCH(1,
       (积分标准!$A$2:$A$100=D160) *
       (积分标准!$B$2:$B$100=E160) *
       (积分标准!$C$2:$C$100=F160), 0)) +
   IF(H160="是", 0.5, 0))</f>
        <v>1.5</v>
      </c>
      <c r="J160" s="7" t="s">
        <v>1810</v>
      </c>
      <c r="K160" s="7">
        <v>8614212</v>
      </c>
      <c r="M160" s="7">
        <v>1</v>
      </c>
      <c r="N160" s="7">
        <v>1</v>
      </c>
      <c r="O160" s="11">
        <f t="shared" si="18"/>
        <v>1.5</v>
      </c>
    </row>
    <row r="161" spans="1:15" x14ac:dyDescent="0.3">
      <c r="A161" s="7">
        <v>160</v>
      </c>
      <c r="B161" s="8">
        <v>45962</v>
      </c>
      <c r="C161" s="7" t="s">
        <v>214</v>
      </c>
      <c r="D161" s="7" t="s">
        <v>53</v>
      </c>
      <c r="E161" s="7" t="s">
        <v>149</v>
      </c>
      <c r="F161" s="7" t="s">
        <v>135</v>
      </c>
      <c r="G161" s="7" t="s">
        <v>1802</v>
      </c>
      <c r="H161" s="7" t="s">
        <v>29</v>
      </c>
      <c r="I161" s="7" cm="1">
        <f t="array" ref="I161">IF(OR(D161="", E161="", F161=""), "",
   INDEX(积分标准!$D$2:$D$100, MATCH(1,
       (积分标准!$A$2:$A$100=D161) *
       (积分标准!$B$2:$B$100=E161) *
       (积分标准!$C$2:$C$100=F161), 0)) +
   IF(H161="是", 0.5, 0))</f>
        <v>1.5</v>
      </c>
      <c r="J161" s="7" t="s">
        <v>1811</v>
      </c>
      <c r="K161" s="7">
        <v>8679425</v>
      </c>
      <c r="M161" s="7">
        <v>1</v>
      </c>
      <c r="N161" s="7">
        <v>1</v>
      </c>
      <c r="O161" s="11">
        <f t="shared" si="18"/>
        <v>1.5</v>
      </c>
    </row>
    <row r="162" spans="1:15" x14ac:dyDescent="0.3">
      <c r="A162" s="7">
        <v>161</v>
      </c>
      <c r="B162" s="8">
        <v>45962</v>
      </c>
      <c r="C162" s="7" t="s">
        <v>86</v>
      </c>
      <c r="D162" s="7" t="s">
        <v>53</v>
      </c>
      <c r="E162" s="7" t="s">
        <v>149</v>
      </c>
      <c r="F162" s="7" t="s">
        <v>135</v>
      </c>
      <c r="G162" s="7" t="s">
        <v>1803</v>
      </c>
      <c r="H162" s="7" t="s">
        <v>29</v>
      </c>
      <c r="I162" s="7" cm="1">
        <f t="array" ref="I162">IF(OR(D162="", E162="", F162=""), "",
   INDEX(积分标准!$D$2:$D$100, MATCH(1,
       (积分标准!$A$2:$A$100=D162) *
       (积分标准!$B$2:$B$100=E162) *
       (积分标准!$C$2:$C$100=F162), 0)) +
   IF(H162="是", 0.5, 0))</f>
        <v>1.5</v>
      </c>
      <c r="J162" s="7" t="s">
        <v>57</v>
      </c>
      <c r="K162" s="7">
        <v>8683979</v>
      </c>
      <c r="M162" s="7">
        <v>1</v>
      </c>
      <c r="N162" s="7">
        <v>1</v>
      </c>
      <c r="O162" s="11">
        <f t="shared" si="18"/>
        <v>1.5</v>
      </c>
    </row>
    <row r="163" spans="1:15" x14ac:dyDescent="0.3">
      <c r="A163" s="7">
        <v>162</v>
      </c>
      <c r="B163" s="8">
        <v>45962</v>
      </c>
      <c r="C163" s="7" t="s">
        <v>214</v>
      </c>
      <c r="D163" s="7" t="s">
        <v>53</v>
      </c>
      <c r="E163" s="7" t="s">
        <v>149</v>
      </c>
      <c r="F163" s="7" t="s">
        <v>135</v>
      </c>
      <c r="G163" s="7" t="s">
        <v>1804</v>
      </c>
      <c r="H163" s="7" t="s">
        <v>48</v>
      </c>
      <c r="I163" s="7" cm="1">
        <f t="array" ref="I163">IF(OR(D163="", E163="", F163=""), "",
   INDEX(积分标准!$D$2:$D$100, MATCH(1,
       (积分标准!$A$2:$A$100=D163) *
       (积分标准!$B$2:$B$100=E163) *
       (积分标准!$C$2:$C$100=F163), 0)) +
   IF(H163="是", 0.5, 0))</f>
        <v>1</v>
      </c>
      <c r="J163" s="7" t="s">
        <v>1812</v>
      </c>
      <c r="K163" s="7">
        <v>8683064</v>
      </c>
      <c r="M163" s="7">
        <v>1</v>
      </c>
      <c r="N163" s="7">
        <v>1</v>
      </c>
      <c r="O163" s="11">
        <f t="shared" si="18"/>
        <v>1</v>
      </c>
    </row>
    <row r="164" spans="1:15" x14ac:dyDescent="0.3">
      <c r="A164" s="7">
        <v>163</v>
      </c>
      <c r="B164" s="8">
        <v>45976</v>
      </c>
      <c r="C164" s="7" t="s">
        <v>52</v>
      </c>
      <c r="D164" s="7" t="s">
        <v>53</v>
      </c>
      <c r="E164" s="7" t="s">
        <v>149</v>
      </c>
      <c r="F164" s="7" t="s">
        <v>135</v>
      </c>
      <c r="G164" s="7" t="s">
        <v>1813</v>
      </c>
      <c r="H164" s="7" t="s">
        <v>48</v>
      </c>
      <c r="I164" s="7" cm="1">
        <f t="array" ref="I164">IF(OR(D164="", E164="", F164=""), "",
   INDEX(积分标准!$D$2:$D$100, MATCH(1,
       (积分标准!$A$2:$A$100=D164) *
       (积分标准!$B$2:$B$100=E164) *
       (积分标准!$C$2:$C$100=F164), 0)) +
   IF(H164="是", 0.5, 0))</f>
        <v>1</v>
      </c>
      <c r="J164" s="7" t="s">
        <v>188</v>
      </c>
      <c r="K164" s="7">
        <v>8613616</v>
      </c>
      <c r="M164" s="7">
        <v>1</v>
      </c>
      <c r="N164" s="7">
        <v>1</v>
      </c>
      <c r="O164" s="11">
        <f t="shared" ref="O164:O170" si="19">M164/N164*I164</f>
        <v>1</v>
      </c>
    </row>
    <row r="165" spans="1:15" x14ac:dyDescent="0.3">
      <c r="A165" s="7">
        <v>164</v>
      </c>
      <c r="B165" s="8">
        <v>45976</v>
      </c>
      <c r="C165" s="7" t="s">
        <v>216</v>
      </c>
      <c r="D165" s="7" t="s">
        <v>53</v>
      </c>
      <c r="E165" s="7" t="s">
        <v>149</v>
      </c>
      <c r="F165" s="7" t="s">
        <v>135</v>
      </c>
      <c r="G165" s="7" t="s">
        <v>1814</v>
      </c>
      <c r="H165" s="7" t="s">
        <v>48</v>
      </c>
      <c r="I165" s="7" cm="1">
        <f t="array" ref="I165">IF(OR(D165="", E165="", F165=""), "",
   INDEX(积分标准!$D$2:$D$100, MATCH(1,
       (积分标准!$A$2:$A$100=D165) *
       (积分标准!$B$2:$B$100=E165) *
       (积分标准!$C$2:$C$100=F165), 0)) +
   IF(H165="是", 0.5, 0))</f>
        <v>1</v>
      </c>
      <c r="J165" s="7" t="s">
        <v>342</v>
      </c>
      <c r="K165" s="7">
        <v>8730581</v>
      </c>
      <c r="M165" s="7">
        <v>1</v>
      </c>
      <c r="N165" s="7">
        <v>1</v>
      </c>
      <c r="O165" s="11">
        <f t="shared" si="19"/>
        <v>1</v>
      </c>
    </row>
    <row r="166" spans="1:15" x14ac:dyDescent="0.3">
      <c r="A166" s="7">
        <v>165</v>
      </c>
      <c r="B166" s="8">
        <v>45976</v>
      </c>
      <c r="C166" s="7" t="s">
        <v>216</v>
      </c>
      <c r="D166" s="7" t="s">
        <v>53</v>
      </c>
      <c r="E166" s="7" t="s">
        <v>149</v>
      </c>
      <c r="F166" s="7" t="s">
        <v>135</v>
      </c>
      <c r="G166" s="7" t="s">
        <v>1815</v>
      </c>
      <c r="H166" s="7" t="s">
        <v>48</v>
      </c>
      <c r="I166" s="7" cm="1">
        <f t="array" ref="I166">IF(OR(D166="", E166="", F166=""), "",
   INDEX(积分标准!$D$2:$D$100, MATCH(1,
       (积分标准!$A$2:$A$100=D166) *
       (积分标准!$B$2:$B$100=E166) *
       (积分标准!$C$2:$C$100=F166), 0)) +
   IF(H166="是", 0.5, 0))</f>
        <v>1</v>
      </c>
      <c r="J166" s="7" t="s">
        <v>342</v>
      </c>
      <c r="K166" s="7">
        <v>8730581</v>
      </c>
      <c r="M166" s="7">
        <v>1</v>
      </c>
      <c r="N166" s="7">
        <v>1</v>
      </c>
      <c r="O166" s="11">
        <f t="shared" si="19"/>
        <v>1</v>
      </c>
    </row>
    <row r="167" spans="1:15" x14ac:dyDescent="0.3">
      <c r="A167" s="7">
        <v>166</v>
      </c>
      <c r="B167" s="8">
        <v>45976</v>
      </c>
      <c r="C167" s="7" t="s">
        <v>87</v>
      </c>
      <c r="D167" s="7" t="s">
        <v>53</v>
      </c>
      <c r="E167" s="7" t="s">
        <v>149</v>
      </c>
      <c r="F167" s="7" t="s">
        <v>135</v>
      </c>
      <c r="G167" s="7" t="s">
        <v>1816</v>
      </c>
      <c r="H167" s="7" t="s">
        <v>29</v>
      </c>
      <c r="I167" s="7" cm="1">
        <f t="array" ref="I167">IF(OR(D167="", E167="", F167=""), "",
   INDEX(积分标准!$D$2:$D$100, MATCH(1,
       (积分标准!$A$2:$A$100=D167) *
       (积分标准!$B$2:$B$100=E167) *
       (积分标准!$C$2:$C$100=F167), 0)) +
   IF(H167="是", 0.5, 0))</f>
        <v>1.5</v>
      </c>
      <c r="J167" s="7" t="s">
        <v>1820</v>
      </c>
      <c r="K167" s="7">
        <v>8650621</v>
      </c>
      <c r="M167" s="7">
        <v>1</v>
      </c>
      <c r="N167" s="7">
        <v>1</v>
      </c>
      <c r="O167" s="11">
        <f t="shared" si="19"/>
        <v>1.5</v>
      </c>
    </row>
    <row r="168" spans="1:15" x14ac:dyDescent="0.3">
      <c r="A168" s="7">
        <v>167</v>
      </c>
      <c r="B168" s="8">
        <v>45976</v>
      </c>
      <c r="C168" s="7" t="s">
        <v>140</v>
      </c>
      <c r="D168" s="7" t="s">
        <v>53</v>
      </c>
      <c r="E168" s="7" t="s">
        <v>149</v>
      </c>
      <c r="F168" s="7" t="s">
        <v>135</v>
      </c>
      <c r="G168" s="7" t="s">
        <v>1817</v>
      </c>
      <c r="H168" s="7" t="s">
        <v>29</v>
      </c>
      <c r="I168" s="7" cm="1">
        <f t="array" ref="I168">IF(OR(D168="", E168="", F168=""), "",
   INDEX(积分标准!$D$2:$D$100, MATCH(1,
       (积分标准!$A$2:$A$100=D168) *
       (积分标准!$B$2:$B$100=E168) *
       (积分标准!$C$2:$C$100=F168), 0)) +
   IF(H168="是", 0.5, 0))</f>
        <v>1.5</v>
      </c>
      <c r="J168" s="7" t="s">
        <v>1821</v>
      </c>
      <c r="K168" s="7">
        <v>8696729</v>
      </c>
      <c r="M168" s="7">
        <v>1</v>
      </c>
      <c r="N168" s="7">
        <v>1</v>
      </c>
      <c r="O168" s="11">
        <f t="shared" si="19"/>
        <v>1.5</v>
      </c>
    </row>
    <row r="169" spans="1:15" x14ac:dyDescent="0.3">
      <c r="A169" s="7">
        <v>168</v>
      </c>
      <c r="B169" s="8">
        <v>45976</v>
      </c>
      <c r="C169" s="7" t="s">
        <v>216</v>
      </c>
      <c r="D169" s="7" t="s">
        <v>53</v>
      </c>
      <c r="E169" s="7" t="s">
        <v>149</v>
      </c>
      <c r="F169" s="7" t="s">
        <v>135</v>
      </c>
      <c r="G169" s="7" t="s">
        <v>1818</v>
      </c>
      <c r="H169" s="7" t="s">
        <v>48</v>
      </c>
      <c r="I169" s="7" cm="1">
        <f t="array" ref="I169">IF(OR(D169="", E169="", F169=""), "",
   INDEX(积分标准!$D$2:$D$100, MATCH(1,
       (积分标准!$A$2:$A$100=D169) *
       (积分标准!$B$2:$B$100=E169) *
       (积分标准!$C$2:$C$100=F169), 0)) +
   IF(H169="是", 0.5, 0))</f>
        <v>1</v>
      </c>
      <c r="J169" s="7" t="s">
        <v>342</v>
      </c>
      <c r="K169" s="7">
        <v>8730581</v>
      </c>
      <c r="M169" s="7">
        <v>1</v>
      </c>
      <c r="N169" s="7">
        <v>1</v>
      </c>
      <c r="O169" s="11">
        <f t="shared" si="19"/>
        <v>1</v>
      </c>
    </row>
    <row r="170" spans="1:15" x14ac:dyDescent="0.3">
      <c r="A170" s="7">
        <v>169</v>
      </c>
      <c r="B170" s="8">
        <v>45976</v>
      </c>
      <c r="C170" s="7" t="s">
        <v>216</v>
      </c>
      <c r="D170" s="7" t="s">
        <v>53</v>
      </c>
      <c r="E170" s="7" t="s">
        <v>149</v>
      </c>
      <c r="F170" s="7" t="s">
        <v>135</v>
      </c>
      <c r="G170" s="7" t="s">
        <v>1819</v>
      </c>
      <c r="H170" s="7" t="s">
        <v>48</v>
      </c>
      <c r="I170" s="7" cm="1">
        <f t="array" ref="I170">IF(OR(D170="", E170="", F170=""), "",
   INDEX(积分标准!$D$2:$D$100, MATCH(1,
       (积分标准!$A$2:$A$100=D170) *
       (积分标准!$B$2:$B$100=E170) *
       (积分标准!$C$2:$C$100=F170), 0)) +
   IF(H170="是", 0.5, 0))</f>
        <v>1</v>
      </c>
      <c r="J170" s="7" t="s">
        <v>342</v>
      </c>
      <c r="K170" s="7">
        <v>8730581</v>
      </c>
      <c r="M170" s="7">
        <v>1</v>
      </c>
      <c r="N170" s="7">
        <v>1</v>
      </c>
      <c r="O170" s="11">
        <f t="shared" si="19"/>
        <v>1</v>
      </c>
    </row>
    <row r="171" spans="1:15" x14ac:dyDescent="0.3">
      <c r="A171" s="7">
        <v>170</v>
      </c>
      <c r="B171" s="8">
        <v>45992</v>
      </c>
      <c r="C171" s="7" t="s">
        <v>88</v>
      </c>
      <c r="D171" s="7" t="s">
        <v>53</v>
      </c>
      <c r="E171" s="7" t="s">
        <v>149</v>
      </c>
      <c r="F171" s="7" t="s">
        <v>135</v>
      </c>
      <c r="G171" s="7" t="s">
        <v>1822</v>
      </c>
      <c r="H171" s="7" t="s">
        <v>48</v>
      </c>
      <c r="I171" s="7" cm="1">
        <f t="array" ref="I171">IF(OR(D171="", E171="", F171=""), "",
   INDEX(积分标准!$D$2:$D$100, MATCH(1,
       (积分标准!$A$2:$A$100=D171) *
       (积分标准!$B$2:$B$100=E171) *
       (积分标准!$C$2:$C$100=F171), 0)) +
   IF(H171="是", 0.5, 0))</f>
        <v>1</v>
      </c>
      <c r="J171" s="7" t="s">
        <v>70</v>
      </c>
      <c r="K171" s="7">
        <v>8680291</v>
      </c>
      <c r="M171" s="7">
        <v>1</v>
      </c>
      <c r="N171" s="7">
        <v>1</v>
      </c>
      <c r="O171" s="11">
        <f t="shared" ref="O171:O177" si="20">M171/N171*I171</f>
        <v>1</v>
      </c>
    </row>
    <row r="172" spans="1:15" x14ac:dyDescent="0.3">
      <c r="A172" s="7">
        <v>171</v>
      </c>
      <c r="B172" s="8">
        <v>45992</v>
      </c>
      <c r="C172" s="7" t="s">
        <v>55</v>
      </c>
      <c r="D172" s="7" t="s">
        <v>53</v>
      </c>
      <c r="E172" s="7" t="s">
        <v>149</v>
      </c>
      <c r="F172" s="7" t="s">
        <v>135</v>
      </c>
      <c r="G172" s="7" t="s">
        <v>1823</v>
      </c>
      <c r="H172" s="7" t="s">
        <v>48</v>
      </c>
      <c r="I172" s="7" cm="1">
        <f t="array" ref="I172">IF(OR(D172="", E172="", F172=""), "",
   INDEX(积分标准!$D$2:$D$100, MATCH(1,
       (积分标准!$A$2:$A$100=D172) *
       (积分标准!$B$2:$B$100=E172) *
       (积分标准!$C$2:$C$100=F172), 0)) +
   IF(H172="是", 0.5, 0))</f>
        <v>1</v>
      </c>
      <c r="J172" s="7" t="s">
        <v>327</v>
      </c>
      <c r="K172" s="7">
        <v>8719234</v>
      </c>
      <c r="M172" s="7">
        <v>1</v>
      </c>
      <c r="N172" s="7">
        <v>1</v>
      </c>
      <c r="O172" s="11">
        <f t="shared" si="20"/>
        <v>1</v>
      </c>
    </row>
    <row r="173" spans="1:15" x14ac:dyDescent="0.3">
      <c r="A173" s="7">
        <v>172</v>
      </c>
      <c r="B173" s="8">
        <v>45992</v>
      </c>
      <c r="C173" s="7" t="s">
        <v>214</v>
      </c>
      <c r="D173" s="7" t="s">
        <v>53</v>
      </c>
      <c r="E173" s="7" t="s">
        <v>149</v>
      </c>
      <c r="F173" s="7" t="s">
        <v>135</v>
      </c>
      <c r="G173" s="7" t="s">
        <v>1824</v>
      </c>
      <c r="H173" s="7" t="s">
        <v>29</v>
      </c>
      <c r="I173" s="7" cm="1">
        <f t="array" ref="I173">IF(OR(D173="", E173="", F173=""), "",
   INDEX(积分标准!$D$2:$D$100, MATCH(1,
       (积分标准!$A$2:$A$100=D173) *
       (积分标准!$B$2:$B$100=E173) *
       (积分标准!$C$2:$C$100=F173), 0)) +
   IF(H173="是", 0.5, 0))</f>
        <v>1.5</v>
      </c>
      <c r="J173" s="7" t="s">
        <v>1830</v>
      </c>
      <c r="K173" s="7">
        <v>8681219</v>
      </c>
      <c r="M173" s="7">
        <v>1</v>
      </c>
      <c r="N173" s="7">
        <v>1</v>
      </c>
      <c r="O173" s="11">
        <f t="shared" si="20"/>
        <v>1.5</v>
      </c>
    </row>
    <row r="174" spans="1:15" x14ac:dyDescent="0.3">
      <c r="A174" s="7">
        <v>173</v>
      </c>
      <c r="B174" s="8">
        <v>45992</v>
      </c>
      <c r="C174" s="7" t="s">
        <v>52</v>
      </c>
      <c r="D174" s="7" t="s">
        <v>53</v>
      </c>
      <c r="E174" s="7" t="s">
        <v>149</v>
      </c>
      <c r="F174" s="7" t="s">
        <v>135</v>
      </c>
      <c r="G174" s="7" t="s">
        <v>1825</v>
      </c>
      <c r="H174" s="7" t="s">
        <v>29</v>
      </c>
      <c r="I174" s="7" cm="1">
        <f t="array" ref="I174">IF(OR(D174="", E174="", F174=""), "",
   INDEX(积分标准!$D$2:$D$100, MATCH(1,
       (积分标准!$A$2:$A$100=D174) *
       (积分标准!$B$2:$B$100=E174) *
       (积分标准!$C$2:$C$100=F174), 0)) +
   IF(H174="是", 0.5, 0))</f>
        <v>1.5</v>
      </c>
      <c r="J174" s="7" t="s">
        <v>1829</v>
      </c>
      <c r="K174" s="7">
        <v>8683690</v>
      </c>
      <c r="M174" s="7">
        <v>1</v>
      </c>
      <c r="N174" s="7">
        <v>1</v>
      </c>
      <c r="O174" s="11">
        <f t="shared" si="20"/>
        <v>1.5</v>
      </c>
    </row>
    <row r="175" spans="1:15" x14ac:dyDescent="0.3">
      <c r="A175" s="7">
        <v>174</v>
      </c>
      <c r="B175" s="8">
        <v>45992</v>
      </c>
      <c r="C175" s="7" t="s">
        <v>140</v>
      </c>
      <c r="D175" s="7" t="s">
        <v>53</v>
      </c>
      <c r="E175" s="7" t="s">
        <v>149</v>
      </c>
      <c r="F175" s="7" t="s">
        <v>135</v>
      </c>
      <c r="G175" s="7" t="s">
        <v>1826</v>
      </c>
      <c r="H175" s="7" t="s">
        <v>29</v>
      </c>
      <c r="I175" s="7" cm="1">
        <f t="array" ref="I175">IF(OR(D175="", E175="", F175=""), "",
   INDEX(积分标准!$D$2:$D$100, MATCH(1,
       (积分标准!$A$2:$A$100=D175) *
       (积分标准!$B$2:$B$100=E175) *
       (积分标准!$C$2:$C$100=F175), 0)) +
   IF(H175="是", 0.5, 0))</f>
        <v>1.5</v>
      </c>
      <c r="J175" s="7" t="s">
        <v>1831</v>
      </c>
      <c r="K175" s="7">
        <v>8687965</v>
      </c>
      <c r="M175" s="7">
        <v>1</v>
      </c>
      <c r="N175" s="7">
        <v>1</v>
      </c>
      <c r="O175" s="11">
        <f t="shared" si="20"/>
        <v>1.5</v>
      </c>
    </row>
    <row r="176" spans="1:15" x14ac:dyDescent="0.3">
      <c r="A176" s="7">
        <v>175</v>
      </c>
      <c r="B176" s="8">
        <v>45992</v>
      </c>
      <c r="C176" s="7" t="s">
        <v>214</v>
      </c>
      <c r="D176" s="7" t="s">
        <v>53</v>
      </c>
      <c r="E176" s="7" t="s">
        <v>149</v>
      </c>
      <c r="F176" s="7" t="s">
        <v>135</v>
      </c>
      <c r="G176" s="7" t="s">
        <v>1827</v>
      </c>
      <c r="H176" s="7" t="s">
        <v>29</v>
      </c>
      <c r="I176" s="7" cm="1">
        <f t="array" ref="I176">IF(OR(D176="", E176="", F176=""), "",
   INDEX(积分标准!$D$2:$D$100, MATCH(1,
       (积分标准!$A$2:$A$100=D176) *
       (积分标准!$B$2:$B$100=E176) *
       (积分标准!$C$2:$C$100=F176), 0)) +
   IF(H176="是", 0.5, 0))</f>
        <v>1.5</v>
      </c>
      <c r="J176" s="7" t="s">
        <v>1832</v>
      </c>
      <c r="K176" s="7">
        <v>8613426</v>
      </c>
      <c r="M176" s="7">
        <v>1</v>
      </c>
      <c r="N176" s="7">
        <v>1</v>
      </c>
      <c r="O176" s="11">
        <f t="shared" si="20"/>
        <v>1.5</v>
      </c>
    </row>
    <row r="177" spans="1:15" x14ac:dyDescent="0.3">
      <c r="A177" s="7">
        <v>176</v>
      </c>
      <c r="B177" s="8">
        <v>45992</v>
      </c>
      <c r="C177" s="7" t="s">
        <v>109</v>
      </c>
      <c r="D177" s="7" t="s">
        <v>53</v>
      </c>
      <c r="E177" s="7" t="s">
        <v>149</v>
      </c>
      <c r="F177" s="7" t="s">
        <v>135</v>
      </c>
      <c r="G177" s="7" t="s">
        <v>1828</v>
      </c>
      <c r="H177" s="7" t="s">
        <v>48</v>
      </c>
      <c r="I177" s="7" cm="1">
        <f t="array" ref="I177">IF(OR(D177="", E177="", F177=""), "",
   INDEX(积分标准!$D$2:$D$100, MATCH(1,
       (积分标准!$A$2:$A$100=D177) *
       (积分标准!$B$2:$B$100=E177) *
       (积分标准!$C$2:$C$100=F177), 0)) +
   IF(H177="是", 0.5, 0))</f>
        <v>1</v>
      </c>
      <c r="J177" s="7" t="s">
        <v>1833</v>
      </c>
      <c r="K177" s="7">
        <v>8730580</v>
      </c>
      <c r="M177" s="7">
        <v>1</v>
      </c>
      <c r="N177" s="7">
        <v>1</v>
      </c>
      <c r="O177" s="11">
        <f t="shared" si="20"/>
        <v>1</v>
      </c>
    </row>
    <row r="178" spans="1:15" x14ac:dyDescent="0.3">
      <c r="A178" s="7">
        <v>177</v>
      </c>
      <c r="B178" s="8">
        <v>45992</v>
      </c>
      <c r="C178" s="7" t="s">
        <v>109</v>
      </c>
      <c r="D178" s="7" t="s">
        <v>103</v>
      </c>
      <c r="E178" s="7" t="s">
        <v>37</v>
      </c>
      <c r="F178" s="7" t="s">
        <v>25</v>
      </c>
      <c r="G178" s="7" t="s">
        <v>1834</v>
      </c>
      <c r="H178" s="7" t="s">
        <v>48</v>
      </c>
      <c r="I178" s="7" cm="1">
        <f t="array" ref="I178">IF(OR(D178="", E178="", F178=""), "",
   INDEX(积分标准!$D$2:$D$100, MATCH(1,
       (积分标准!$A$2:$A$100=D178) *
       (积分标准!$B$2:$B$100=E178) *
       (积分标准!$C$2:$C$100=F178), 0)) +
   IF(H178="是", 0.5, 0))</f>
        <v>3</v>
      </c>
      <c r="J178" s="7" t="s">
        <v>113</v>
      </c>
      <c r="K178" s="7">
        <v>8696816</v>
      </c>
      <c r="M178" s="7">
        <v>1</v>
      </c>
      <c r="N178" s="7">
        <v>1</v>
      </c>
      <c r="O178" s="11">
        <f t="shared" ref="O178" si="21">M178/N178*I178</f>
        <v>3</v>
      </c>
    </row>
  </sheetData>
  <dataConsolidate/>
  <phoneticPr fontId="1" type="noConversion"/>
  <dataValidations count="3">
    <dataValidation type="list" allowBlank="1" showInputMessage="1" showErrorMessage="1" sqref="C2:C109 C137:C1048573" xr:uid="{B488A077-A7E0-45F8-8229-E29B5BEFFD46}">
      <formula1>"冲焊科,涂树科,总装科,工业工程科,品质保证科,设备动力科,技术科,生产管理科,综合管理科,安技环保科,党群工作室,大连财务科,大连部品科"</formula1>
    </dataValidation>
    <dataValidation type="list" allowBlank="1" showInputMessage="1" showErrorMessage="1" sqref="D2:D178" xr:uid="{9517627C-8A78-4F8E-A384-4B10AE512FB9}">
      <formula1>"内部获奖,外部获奖"</formula1>
    </dataValidation>
    <dataValidation type="list" allowBlank="1" showInputMessage="1" showErrorMessage="1" sqref="H2:H178" xr:uid="{20F2D587-3E9F-4353-A4C2-F272FEAC58F7}">
      <formula1>"是,否"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58C0E0-2646-4A7D-877C-6E489A23CC4B}">
          <x14:formula1>
            <xm:f>OFFSET(积分标准!$B$2, MATCH(D2, 积分标准!$A$2:$A$100, 0)-1, 0, COUNTIF(积分标准!$A$2:$A$100, D2), 1)</xm:f>
          </x14:formula1>
          <xm:sqref>E2:E51 E68:E178</xm:sqref>
        </x14:dataValidation>
        <x14:dataValidation type="list" allowBlank="1" showInputMessage="1" showErrorMessage="1" xr:uid="{EFA4B744-6C50-4B20-8502-605DA24C177C}">
          <x14:formula1>
            <xm:f>OFFSET(积分标准!$C$1, MATCH($E2, 积分标准!$B$2:$B$100, 0), 0, COUNTIF(积分标准!$B$2:$B$100, $E2), 1)</xm:f>
          </x14:formula1>
          <xm:sqref>F2:F51 F68:F178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0273-E395-4E2F-B64B-F4F611576B7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36B2-9592-4E46-8614-57096C3BD6BF}">
  <dimension ref="A1:D768"/>
  <sheetViews>
    <sheetView topLeftCell="A499" workbookViewId="0">
      <selection activeCell="A583" sqref="A583"/>
    </sheetView>
  </sheetViews>
  <sheetFormatPr defaultRowHeight="14.25" x14ac:dyDescent="0.2"/>
  <sheetData>
    <row r="1" spans="1:4" x14ac:dyDescent="0.2">
      <c r="A1" t="s">
        <v>93</v>
      </c>
      <c r="B1" t="s">
        <v>227</v>
      </c>
      <c r="C1" t="s">
        <v>228</v>
      </c>
      <c r="D1" t="s">
        <v>92</v>
      </c>
    </row>
    <row r="2" spans="1:4" x14ac:dyDescent="0.2">
      <c r="A2" t="s">
        <v>230</v>
      </c>
      <c r="B2" t="s">
        <v>229</v>
      </c>
      <c r="C2" t="s">
        <v>231</v>
      </c>
    </row>
    <row r="3" spans="1:4" x14ac:dyDescent="0.2">
      <c r="A3" t="s">
        <v>233</v>
      </c>
      <c r="B3" t="s">
        <v>232</v>
      </c>
      <c r="C3" t="s">
        <v>231</v>
      </c>
    </row>
    <row r="4" spans="1:4" x14ac:dyDescent="0.2">
      <c r="A4" t="s">
        <v>235</v>
      </c>
      <c r="B4" t="s">
        <v>234</v>
      </c>
      <c r="C4" t="s">
        <v>236</v>
      </c>
    </row>
    <row r="5" spans="1:4" x14ac:dyDescent="0.2">
      <c r="A5" t="s">
        <v>238</v>
      </c>
      <c r="B5" t="s">
        <v>237</v>
      </c>
      <c r="C5" t="s">
        <v>239</v>
      </c>
    </row>
    <row r="6" spans="1:4" x14ac:dyDescent="0.2">
      <c r="A6" t="s">
        <v>241</v>
      </c>
      <c r="B6" t="s">
        <v>240</v>
      </c>
      <c r="C6" t="s">
        <v>242</v>
      </c>
      <c r="D6" t="s">
        <v>243</v>
      </c>
    </row>
    <row r="7" spans="1:4" x14ac:dyDescent="0.2">
      <c r="A7" t="s">
        <v>245</v>
      </c>
      <c r="B7" t="s">
        <v>244</v>
      </c>
      <c r="C7" t="s">
        <v>239</v>
      </c>
      <c r="D7" t="s">
        <v>216</v>
      </c>
    </row>
    <row r="8" spans="1:4" x14ac:dyDescent="0.2">
      <c r="A8" t="s">
        <v>247</v>
      </c>
      <c r="B8" t="s">
        <v>246</v>
      </c>
      <c r="C8" t="s">
        <v>236</v>
      </c>
      <c r="D8" t="s">
        <v>86</v>
      </c>
    </row>
    <row r="9" spans="1:4" x14ac:dyDescent="0.2">
      <c r="A9" t="s">
        <v>249</v>
      </c>
      <c r="B9" t="s">
        <v>248</v>
      </c>
      <c r="C9" t="s">
        <v>250</v>
      </c>
      <c r="D9" t="s">
        <v>214</v>
      </c>
    </row>
    <row r="10" spans="1:4" x14ac:dyDescent="0.2">
      <c r="A10" t="s">
        <v>252</v>
      </c>
      <c r="B10" t="s">
        <v>251</v>
      </c>
      <c r="C10" t="s">
        <v>250</v>
      </c>
      <c r="D10" t="s">
        <v>87</v>
      </c>
    </row>
    <row r="11" spans="1:4" x14ac:dyDescent="0.2">
      <c r="A11" t="s">
        <v>254</v>
      </c>
      <c r="B11" t="s">
        <v>253</v>
      </c>
      <c r="C11" t="s">
        <v>250</v>
      </c>
      <c r="D11" t="s">
        <v>212</v>
      </c>
    </row>
    <row r="12" spans="1:4" x14ac:dyDescent="0.2">
      <c r="A12" t="s">
        <v>256</v>
      </c>
      <c r="B12" t="s">
        <v>255</v>
      </c>
      <c r="C12" t="s">
        <v>236</v>
      </c>
      <c r="D12" t="s">
        <v>52</v>
      </c>
    </row>
    <row r="13" spans="1:4" x14ac:dyDescent="0.2">
      <c r="A13" t="s">
        <v>258</v>
      </c>
      <c r="B13" t="s">
        <v>257</v>
      </c>
      <c r="C13" t="s">
        <v>236</v>
      </c>
      <c r="D13" t="s">
        <v>55</v>
      </c>
    </row>
    <row r="14" spans="1:4" x14ac:dyDescent="0.2">
      <c r="A14" t="s">
        <v>260</v>
      </c>
      <c r="B14" t="s">
        <v>259</v>
      </c>
      <c r="C14" t="s">
        <v>236</v>
      </c>
      <c r="D14" t="s">
        <v>88</v>
      </c>
    </row>
    <row r="15" spans="1:4" x14ac:dyDescent="0.2">
      <c r="A15" t="s">
        <v>262</v>
      </c>
      <c r="B15" t="s">
        <v>261</v>
      </c>
      <c r="C15" t="s">
        <v>236</v>
      </c>
      <c r="D15" t="s">
        <v>140</v>
      </c>
    </row>
    <row r="16" spans="1:4" x14ac:dyDescent="0.2">
      <c r="A16" t="s">
        <v>264</v>
      </c>
      <c r="B16" t="s">
        <v>263</v>
      </c>
      <c r="C16" t="s">
        <v>236</v>
      </c>
      <c r="D16" t="s">
        <v>140</v>
      </c>
    </row>
    <row r="17" spans="1:4" x14ac:dyDescent="0.2">
      <c r="A17" t="s">
        <v>266</v>
      </c>
      <c r="B17" t="s">
        <v>265</v>
      </c>
      <c r="C17" t="s">
        <v>239</v>
      </c>
      <c r="D17" t="s">
        <v>109</v>
      </c>
    </row>
    <row r="18" spans="1:4" x14ac:dyDescent="0.2">
      <c r="A18" t="s">
        <v>268</v>
      </c>
      <c r="B18" t="s">
        <v>267</v>
      </c>
      <c r="C18" t="s">
        <v>239</v>
      </c>
      <c r="D18" t="s">
        <v>216</v>
      </c>
    </row>
    <row r="19" spans="1:4" x14ac:dyDescent="0.2">
      <c r="A19" t="s">
        <v>270</v>
      </c>
      <c r="B19" t="s">
        <v>269</v>
      </c>
      <c r="C19" t="s">
        <v>242</v>
      </c>
      <c r="D19" t="s">
        <v>243</v>
      </c>
    </row>
    <row r="20" spans="1:4" x14ac:dyDescent="0.2">
      <c r="A20" t="s">
        <v>272</v>
      </c>
      <c r="B20" t="s">
        <v>271</v>
      </c>
      <c r="C20" t="s">
        <v>236</v>
      </c>
      <c r="D20" t="s">
        <v>52</v>
      </c>
    </row>
    <row r="21" spans="1:4" x14ac:dyDescent="0.2">
      <c r="A21" t="s">
        <v>161</v>
      </c>
      <c r="B21" t="s">
        <v>273</v>
      </c>
      <c r="C21" t="s">
        <v>239</v>
      </c>
      <c r="D21" t="s">
        <v>216</v>
      </c>
    </row>
    <row r="22" spans="1:4" x14ac:dyDescent="0.2">
      <c r="A22" t="s">
        <v>275</v>
      </c>
      <c r="B22" t="s">
        <v>274</v>
      </c>
      <c r="C22" t="s">
        <v>239</v>
      </c>
      <c r="D22" t="s">
        <v>216</v>
      </c>
    </row>
    <row r="23" spans="1:4" x14ac:dyDescent="0.2">
      <c r="A23" t="s">
        <v>277</v>
      </c>
      <c r="B23" t="s">
        <v>276</v>
      </c>
      <c r="C23" t="s">
        <v>239</v>
      </c>
      <c r="D23" t="s">
        <v>216</v>
      </c>
    </row>
    <row r="24" spans="1:4" x14ac:dyDescent="0.2">
      <c r="A24" t="s">
        <v>112</v>
      </c>
      <c r="B24" t="s">
        <v>278</v>
      </c>
      <c r="C24" t="s">
        <v>239</v>
      </c>
      <c r="D24" t="s">
        <v>109</v>
      </c>
    </row>
    <row r="25" spans="1:4" x14ac:dyDescent="0.2">
      <c r="A25" t="s">
        <v>280</v>
      </c>
      <c r="B25" t="s">
        <v>279</v>
      </c>
      <c r="C25" t="s">
        <v>236</v>
      </c>
      <c r="D25" t="s">
        <v>140</v>
      </c>
    </row>
    <row r="26" spans="1:4" x14ac:dyDescent="0.2">
      <c r="A26" t="s">
        <v>143</v>
      </c>
      <c r="B26" t="s">
        <v>281</v>
      </c>
      <c r="C26" t="s">
        <v>236</v>
      </c>
      <c r="D26" t="s">
        <v>140</v>
      </c>
    </row>
    <row r="27" spans="1:4" x14ac:dyDescent="0.2">
      <c r="A27" t="s">
        <v>283</v>
      </c>
      <c r="B27" t="s">
        <v>282</v>
      </c>
      <c r="C27" t="s">
        <v>236</v>
      </c>
      <c r="D27" t="s">
        <v>140</v>
      </c>
    </row>
    <row r="28" spans="1:4" x14ac:dyDescent="0.2">
      <c r="A28" t="s">
        <v>285</v>
      </c>
      <c r="B28" t="s">
        <v>284</v>
      </c>
      <c r="C28" t="s">
        <v>236</v>
      </c>
      <c r="D28" t="s">
        <v>140</v>
      </c>
    </row>
    <row r="29" spans="1:4" x14ac:dyDescent="0.2">
      <c r="A29" t="s">
        <v>84</v>
      </c>
      <c r="B29" t="s">
        <v>286</v>
      </c>
      <c r="C29" t="s">
        <v>236</v>
      </c>
      <c r="D29" t="s">
        <v>140</v>
      </c>
    </row>
    <row r="30" spans="1:4" x14ac:dyDescent="0.2">
      <c r="A30" t="s">
        <v>288</v>
      </c>
      <c r="B30" t="s">
        <v>287</v>
      </c>
      <c r="C30" t="s">
        <v>236</v>
      </c>
      <c r="D30" t="s">
        <v>140</v>
      </c>
    </row>
    <row r="31" spans="1:4" x14ac:dyDescent="0.2">
      <c r="A31" t="s">
        <v>289</v>
      </c>
      <c r="B31">
        <v>8695568</v>
      </c>
      <c r="C31" t="s">
        <v>236</v>
      </c>
      <c r="D31" t="s">
        <v>140</v>
      </c>
    </row>
    <row r="32" spans="1:4" x14ac:dyDescent="0.2">
      <c r="A32" t="s">
        <v>291</v>
      </c>
      <c r="B32" t="s">
        <v>290</v>
      </c>
      <c r="C32" t="s">
        <v>236</v>
      </c>
      <c r="D32" t="s">
        <v>140</v>
      </c>
    </row>
    <row r="33" spans="1:4" x14ac:dyDescent="0.2">
      <c r="A33" t="s">
        <v>126</v>
      </c>
      <c r="B33" t="s">
        <v>292</v>
      </c>
      <c r="C33" t="s">
        <v>236</v>
      </c>
      <c r="D33" t="s">
        <v>88</v>
      </c>
    </row>
    <row r="34" spans="1:4" x14ac:dyDescent="0.2">
      <c r="A34" t="s">
        <v>294</v>
      </c>
      <c r="B34" t="s">
        <v>293</v>
      </c>
      <c r="C34" t="s">
        <v>236</v>
      </c>
      <c r="D34" t="s">
        <v>86</v>
      </c>
    </row>
    <row r="35" spans="1:4" x14ac:dyDescent="0.2">
      <c r="A35" t="s">
        <v>296</v>
      </c>
      <c r="B35" t="s">
        <v>295</v>
      </c>
      <c r="C35" t="s">
        <v>236</v>
      </c>
      <c r="D35" t="s">
        <v>86</v>
      </c>
    </row>
    <row r="36" spans="1:4" x14ac:dyDescent="0.2">
      <c r="A36" t="s">
        <v>298</v>
      </c>
      <c r="B36" t="s">
        <v>297</v>
      </c>
      <c r="C36" t="s">
        <v>236</v>
      </c>
      <c r="D36" t="s">
        <v>88</v>
      </c>
    </row>
    <row r="37" spans="1:4" x14ac:dyDescent="0.2">
      <c r="A37" t="s">
        <v>300</v>
      </c>
      <c r="B37" t="s">
        <v>299</v>
      </c>
      <c r="C37" t="s">
        <v>236</v>
      </c>
      <c r="D37" t="s">
        <v>52</v>
      </c>
    </row>
    <row r="38" spans="1:4" x14ac:dyDescent="0.2">
      <c r="A38" t="s">
        <v>302</v>
      </c>
      <c r="B38" t="s">
        <v>301</v>
      </c>
      <c r="C38" t="s">
        <v>236</v>
      </c>
      <c r="D38" t="s">
        <v>55</v>
      </c>
    </row>
    <row r="39" spans="1:4" x14ac:dyDescent="0.2">
      <c r="A39" t="s">
        <v>304</v>
      </c>
      <c r="B39" t="s">
        <v>303</v>
      </c>
      <c r="C39" t="s">
        <v>242</v>
      </c>
      <c r="D39" t="s">
        <v>243</v>
      </c>
    </row>
    <row r="40" spans="1:4" x14ac:dyDescent="0.2">
      <c r="A40" t="s">
        <v>66</v>
      </c>
      <c r="B40" t="s">
        <v>305</v>
      </c>
      <c r="C40" t="s">
        <v>236</v>
      </c>
      <c r="D40" t="s">
        <v>55</v>
      </c>
    </row>
    <row r="41" spans="1:4" x14ac:dyDescent="0.2">
      <c r="A41" t="s">
        <v>306</v>
      </c>
      <c r="B41">
        <v>8675885</v>
      </c>
      <c r="C41" t="s">
        <v>236</v>
      </c>
      <c r="D41" t="s">
        <v>55</v>
      </c>
    </row>
    <row r="42" spans="1:4" x14ac:dyDescent="0.2">
      <c r="A42" t="s">
        <v>222</v>
      </c>
      <c r="B42" t="s">
        <v>307</v>
      </c>
      <c r="C42" t="s">
        <v>236</v>
      </c>
      <c r="D42" t="s">
        <v>55</v>
      </c>
    </row>
    <row r="43" spans="1:4" x14ac:dyDescent="0.2">
      <c r="A43" t="s">
        <v>128</v>
      </c>
      <c r="B43">
        <v>8680603</v>
      </c>
      <c r="C43" t="s">
        <v>236</v>
      </c>
      <c r="D43" t="s">
        <v>88</v>
      </c>
    </row>
    <row r="44" spans="1:4" x14ac:dyDescent="0.2">
      <c r="A44" t="s">
        <v>309</v>
      </c>
      <c r="B44" t="s">
        <v>308</v>
      </c>
      <c r="C44" t="s">
        <v>236</v>
      </c>
      <c r="D44" t="s">
        <v>55</v>
      </c>
    </row>
    <row r="45" spans="1:4" x14ac:dyDescent="0.2">
      <c r="A45" t="s">
        <v>311</v>
      </c>
      <c r="B45" t="s">
        <v>310</v>
      </c>
      <c r="C45" t="s">
        <v>236</v>
      </c>
      <c r="D45" t="s">
        <v>52</v>
      </c>
    </row>
    <row r="46" spans="1:4" x14ac:dyDescent="0.2">
      <c r="A46" t="s">
        <v>106</v>
      </c>
      <c r="B46" t="s">
        <v>312</v>
      </c>
      <c r="C46" t="s">
        <v>236</v>
      </c>
      <c r="D46" t="s">
        <v>52</v>
      </c>
    </row>
    <row r="47" spans="1:4" x14ac:dyDescent="0.2">
      <c r="A47" t="s">
        <v>314</v>
      </c>
      <c r="B47" t="s">
        <v>313</v>
      </c>
      <c r="C47" t="s">
        <v>236</v>
      </c>
      <c r="D47" t="s">
        <v>140</v>
      </c>
    </row>
    <row r="48" spans="1:4" x14ac:dyDescent="0.2">
      <c r="A48" t="s">
        <v>315</v>
      </c>
      <c r="B48">
        <v>8694998</v>
      </c>
      <c r="C48" t="s">
        <v>236</v>
      </c>
      <c r="D48" t="s">
        <v>55</v>
      </c>
    </row>
    <row r="49" spans="1:4" x14ac:dyDescent="0.2">
      <c r="A49" t="s">
        <v>317</v>
      </c>
      <c r="B49" t="s">
        <v>316</v>
      </c>
      <c r="C49" t="s">
        <v>236</v>
      </c>
      <c r="D49" t="s">
        <v>88</v>
      </c>
    </row>
    <row r="50" spans="1:4" x14ac:dyDescent="0.2">
      <c r="A50" t="s">
        <v>319</v>
      </c>
      <c r="B50" t="s">
        <v>318</v>
      </c>
      <c r="C50" t="s">
        <v>236</v>
      </c>
      <c r="D50" t="s">
        <v>55</v>
      </c>
    </row>
    <row r="51" spans="1:4" x14ac:dyDescent="0.2">
      <c r="A51" t="s">
        <v>72</v>
      </c>
      <c r="B51" t="s">
        <v>320</v>
      </c>
      <c r="C51" t="s">
        <v>236</v>
      </c>
      <c r="D51" t="s">
        <v>88</v>
      </c>
    </row>
    <row r="52" spans="1:4" x14ac:dyDescent="0.2">
      <c r="A52" t="s">
        <v>65</v>
      </c>
      <c r="B52" t="s">
        <v>321</v>
      </c>
      <c r="C52" t="s">
        <v>236</v>
      </c>
      <c r="D52" t="s">
        <v>55</v>
      </c>
    </row>
    <row r="53" spans="1:4" x14ac:dyDescent="0.2">
      <c r="A53" t="s">
        <v>323</v>
      </c>
      <c r="B53" t="s">
        <v>322</v>
      </c>
      <c r="C53" t="s">
        <v>239</v>
      </c>
      <c r="D53" t="s">
        <v>109</v>
      </c>
    </row>
    <row r="54" spans="1:4" x14ac:dyDescent="0.2">
      <c r="A54" t="s">
        <v>325</v>
      </c>
      <c r="B54" t="s">
        <v>324</v>
      </c>
      <c r="C54" t="s">
        <v>236</v>
      </c>
      <c r="D54" t="s">
        <v>88</v>
      </c>
    </row>
    <row r="55" spans="1:4" x14ac:dyDescent="0.2">
      <c r="A55" t="s">
        <v>327</v>
      </c>
      <c r="B55" t="s">
        <v>326</v>
      </c>
      <c r="C55" t="s">
        <v>236</v>
      </c>
      <c r="D55" t="s">
        <v>55</v>
      </c>
    </row>
    <row r="56" spans="1:4" x14ac:dyDescent="0.2">
      <c r="A56" t="s">
        <v>329</v>
      </c>
      <c r="B56" t="s">
        <v>328</v>
      </c>
      <c r="C56" t="s">
        <v>236</v>
      </c>
      <c r="D56" t="s">
        <v>140</v>
      </c>
    </row>
    <row r="57" spans="1:4" x14ac:dyDescent="0.2">
      <c r="A57" t="s">
        <v>330</v>
      </c>
      <c r="B57">
        <v>8722495</v>
      </c>
      <c r="C57" t="s">
        <v>236</v>
      </c>
      <c r="D57" t="s">
        <v>88</v>
      </c>
    </row>
    <row r="58" spans="1:4" x14ac:dyDescent="0.2">
      <c r="A58" t="s">
        <v>332</v>
      </c>
      <c r="B58" t="s">
        <v>331</v>
      </c>
      <c r="C58" t="s">
        <v>236</v>
      </c>
      <c r="D58" t="s">
        <v>140</v>
      </c>
    </row>
    <row r="59" spans="1:4" x14ac:dyDescent="0.2">
      <c r="A59" t="s">
        <v>334</v>
      </c>
      <c r="B59" t="s">
        <v>333</v>
      </c>
      <c r="C59" t="s">
        <v>236</v>
      </c>
      <c r="D59" t="s">
        <v>140</v>
      </c>
    </row>
    <row r="60" spans="1:4" x14ac:dyDescent="0.2">
      <c r="A60" t="s">
        <v>336</v>
      </c>
      <c r="B60" t="s">
        <v>335</v>
      </c>
      <c r="C60" t="s">
        <v>236</v>
      </c>
      <c r="D60" t="s">
        <v>86</v>
      </c>
    </row>
    <row r="61" spans="1:4" x14ac:dyDescent="0.2">
      <c r="A61" t="s">
        <v>57</v>
      </c>
      <c r="B61" t="s">
        <v>337</v>
      </c>
      <c r="C61" t="s">
        <v>236</v>
      </c>
      <c r="D61" t="s">
        <v>86</v>
      </c>
    </row>
    <row r="62" spans="1:4" x14ac:dyDescent="0.2">
      <c r="A62" t="s">
        <v>56</v>
      </c>
      <c r="B62" t="s">
        <v>338</v>
      </c>
      <c r="C62" t="s">
        <v>236</v>
      </c>
      <c r="D62" t="s">
        <v>52</v>
      </c>
    </row>
    <row r="63" spans="1:4" x14ac:dyDescent="0.2">
      <c r="A63" t="s">
        <v>340</v>
      </c>
      <c r="B63" t="s">
        <v>339</v>
      </c>
      <c r="C63" t="s">
        <v>236</v>
      </c>
      <c r="D63" t="s">
        <v>86</v>
      </c>
    </row>
    <row r="64" spans="1:4" x14ac:dyDescent="0.2">
      <c r="A64" t="s">
        <v>342</v>
      </c>
      <c r="B64" t="s">
        <v>341</v>
      </c>
      <c r="C64" t="s">
        <v>239</v>
      </c>
      <c r="D64" t="s">
        <v>216</v>
      </c>
    </row>
    <row r="65" spans="1:4" x14ac:dyDescent="0.2">
      <c r="A65" t="s">
        <v>344</v>
      </c>
      <c r="B65" t="s">
        <v>343</v>
      </c>
      <c r="C65" t="s">
        <v>236</v>
      </c>
      <c r="D65" t="s">
        <v>140</v>
      </c>
    </row>
    <row r="66" spans="1:4" x14ac:dyDescent="0.2">
      <c r="A66" t="s">
        <v>346</v>
      </c>
      <c r="B66" t="s">
        <v>345</v>
      </c>
      <c r="C66" t="s">
        <v>239</v>
      </c>
      <c r="D66" t="s">
        <v>109</v>
      </c>
    </row>
    <row r="67" spans="1:4" x14ac:dyDescent="0.2">
      <c r="A67" t="s">
        <v>348</v>
      </c>
      <c r="B67" t="s">
        <v>347</v>
      </c>
      <c r="C67" t="s">
        <v>239</v>
      </c>
      <c r="D67" t="s">
        <v>216</v>
      </c>
    </row>
    <row r="68" spans="1:4" x14ac:dyDescent="0.2">
      <c r="A68" t="s">
        <v>350</v>
      </c>
      <c r="B68" t="s">
        <v>349</v>
      </c>
      <c r="C68" t="s">
        <v>236</v>
      </c>
      <c r="D68" t="s">
        <v>86</v>
      </c>
    </row>
    <row r="69" spans="1:4" x14ac:dyDescent="0.2">
      <c r="A69" t="s">
        <v>352</v>
      </c>
      <c r="B69" t="s">
        <v>351</v>
      </c>
      <c r="C69" t="s">
        <v>242</v>
      </c>
      <c r="D69" t="s">
        <v>243</v>
      </c>
    </row>
    <row r="70" spans="1:4" x14ac:dyDescent="0.2">
      <c r="A70" t="s">
        <v>127</v>
      </c>
      <c r="B70" t="s">
        <v>353</v>
      </c>
      <c r="C70" t="s">
        <v>239</v>
      </c>
      <c r="D70" t="s">
        <v>216</v>
      </c>
    </row>
    <row r="71" spans="1:4" x14ac:dyDescent="0.2">
      <c r="A71" t="s">
        <v>355</v>
      </c>
      <c r="B71" t="s">
        <v>354</v>
      </c>
      <c r="C71" t="s">
        <v>239</v>
      </c>
      <c r="D71" t="s">
        <v>216</v>
      </c>
    </row>
    <row r="72" spans="1:4" x14ac:dyDescent="0.2">
      <c r="A72" t="s">
        <v>357</v>
      </c>
      <c r="B72" t="s">
        <v>356</v>
      </c>
      <c r="C72" t="s">
        <v>239</v>
      </c>
      <c r="D72" t="s">
        <v>109</v>
      </c>
    </row>
    <row r="73" spans="1:4" x14ac:dyDescent="0.2">
      <c r="A73" t="s">
        <v>359</v>
      </c>
      <c r="B73" t="s">
        <v>358</v>
      </c>
      <c r="C73" t="s">
        <v>239</v>
      </c>
      <c r="D73" t="s">
        <v>216</v>
      </c>
    </row>
    <row r="74" spans="1:4" x14ac:dyDescent="0.2">
      <c r="A74" t="s">
        <v>361</v>
      </c>
      <c r="B74" t="s">
        <v>360</v>
      </c>
      <c r="C74" t="s">
        <v>239</v>
      </c>
      <c r="D74" t="s">
        <v>216</v>
      </c>
    </row>
    <row r="75" spans="1:4" x14ac:dyDescent="0.2">
      <c r="A75" t="s">
        <v>363</v>
      </c>
      <c r="B75" t="s">
        <v>362</v>
      </c>
      <c r="C75" t="s">
        <v>242</v>
      </c>
      <c r="D75" t="s">
        <v>243</v>
      </c>
    </row>
    <row r="76" spans="1:4" x14ac:dyDescent="0.2">
      <c r="A76" t="s">
        <v>365</v>
      </c>
      <c r="B76" t="s">
        <v>364</v>
      </c>
      <c r="C76" t="s">
        <v>236</v>
      </c>
      <c r="D76" t="s">
        <v>55</v>
      </c>
    </row>
    <row r="77" spans="1:4" x14ac:dyDescent="0.2">
      <c r="A77" t="s">
        <v>367</v>
      </c>
      <c r="B77" t="s">
        <v>366</v>
      </c>
      <c r="C77" t="s">
        <v>236</v>
      </c>
      <c r="D77" t="s">
        <v>55</v>
      </c>
    </row>
    <row r="78" spans="1:4" x14ac:dyDescent="0.2">
      <c r="A78" t="s">
        <v>369</v>
      </c>
      <c r="B78" t="s">
        <v>368</v>
      </c>
      <c r="C78" t="s">
        <v>236</v>
      </c>
      <c r="D78" t="s">
        <v>55</v>
      </c>
    </row>
    <row r="79" spans="1:4" x14ac:dyDescent="0.2">
      <c r="A79" t="s">
        <v>371</v>
      </c>
      <c r="B79" t="s">
        <v>370</v>
      </c>
      <c r="C79" t="s">
        <v>250</v>
      </c>
      <c r="D79" t="s">
        <v>214</v>
      </c>
    </row>
    <row r="80" spans="1:4" x14ac:dyDescent="0.2">
      <c r="A80" t="s">
        <v>373</v>
      </c>
      <c r="B80" t="s">
        <v>372</v>
      </c>
      <c r="C80" t="s">
        <v>236</v>
      </c>
      <c r="D80" t="s">
        <v>52</v>
      </c>
    </row>
    <row r="81" spans="1:4" x14ac:dyDescent="0.2">
      <c r="A81" t="s">
        <v>67</v>
      </c>
      <c r="B81" t="s">
        <v>374</v>
      </c>
      <c r="C81" t="s">
        <v>236</v>
      </c>
      <c r="D81" t="s">
        <v>55</v>
      </c>
    </row>
    <row r="82" spans="1:4" x14ac:dyDescent="0.2">
      <c r="A82" t="s">
        <v>77</v>
      </c>
      <c r="B82" t="s">
        <v>375</v>
      </c>
      <c r="C82" t="s">
        <v>236</v>
      </c>
      <c r="D82" t="s">
        <v>52</v>
      </c>
    </row>
    <row r="83" spans="1:4" x14ac:dyDescent="0.2">
      <c r="A83" t="s">
        <v>377</v>
      </c>
      <c r="B83" t="s">
        <v>376</v>
      </c>
      <c r="C83" t="s">
        <v>236</v>
      </c>
      <c r="D83" t="s">
        <v>55</v>
      </c>
    </row>
    <row r="84" spans="1:4" x14ac:dyDescent="0.2">
      <c r="A84" t="s">
        <v>379</v>
      </c>
      <c r="B84" t="s">
        <v>378</v>
      </c>
      <c r="C84" t="s">
        <v>236</v>
      </c>
      <c r="D84" t="s">
        <v>55</v>
      </c>
    </row>
    <row r="85" spans="1:4" x14ac:dyDescent="0.2">
      <c r="A85" t="s">
        <v>381</v>
      </c>
      <c r="B85" t="s">
        <v>380</v>
      </c>
      <c r="C85" t="s">
        <v>250</v>
      </c>
      <c r="D85" t="s">
        <v>87</v>
      </c>
    </row>
    <row r="86" spans="1:4" x14ac:dyDescent="0.2">
      <c r="A86" t="s">
        <v>383</v>
      </c>
      <c r="B86" t="s">
        <v>382</v>
      </c>
      <c r="C86" t="s">
        <v>236</v>
      </c>
      <c r="D86" t="s">
        <v>55</v>
      </c>
    </row>
    <row r="87" spans="1:4" x14ac:dyDescent="0.2">
      <c r="A87" t="s">
        <v>385</v>
      </c>
      <c r="B87" t="s">
        <v>384</v>
      </c>
      <c r="C87" t="s">
        <v>236</v>
      </c>
      <c r="D87" t="s">
        <v>55</v>
      </c>
    </row>
    <row r="88" spans="1:4" x14ac:dyDescent="0.2">
      <c r="A88" t="s">
        <v>387</v>
      </c>
      <c r="B88" t="s">
        <v>386</v>
      </c>
      <c r="C88" t="s">
        <v>250</v>
      </c>
      <c r="D88" t="s">
        <v>214</v>
      </c>
    </row>
    <row r="89" spans="1:4" x14ac:dyDescent="0.2">
      <c r="A89" t="s">
        <v>389</v>
      </c>
      <c r="B89" t="s">
        <v>388</v>
      </c>
      <c r="C89" t="s">
        <v>236</v>
      </c>
      <c r="D89" t="s">
        <v>55</v>
      </c>
    </row>
    <row r="90" spans="1:4" x14ac:dyDescent="0.2">
      <c r="A90" t="s">
        <v>391</v>
      </c>
      <c r="B90" t="s">
        <v>390</v>
      </c>
      <c r="C90" t="s">
        <v>236</v>
      </c>
      <c r="D90" t="s">
        <v>52</v>
      </c>
    </row>
    <row r="91" spans="1:4" x14ac:dyDescent="0.2">
      <c r="A91" t="s">
        <v>186</v>
      </c>
      <c r="B91" t="s">
        <v>392</v>
      </c>
      <c r="C91" t="s">
        <v>236</v>
      </c>
      <c r="D91" t="s">
        <v>55</v>
      </c>
    </row>
    <row r="92" spans="1:4" x14ac:dyDescent="0.2">
      <c r="A92" t="s">
        <v>198</v>
      </c>
      <c r="B92" t="s">
        <v>393</v>
      </c>
      <c r="C92" t="s">
        <v>236</v>
      </c>
      <c r="D92" t="s">
        <v>55</v>
      </c>
    </row>
    <row r="93" spans="1:4" x14ac:dyDescent="0.2">
      <c r="A93" t="s">
        <v>395</v>
      </c>
      <c r="B93" t="s">
        <v>394</v>
      </c>
      <c r="C93" t="s">
        <v>236</v>
      </c>
      <c r="D93" t="s">
        <v>55</v>
      </c>
    </row>
    <row r="94" spans="1:4" x14ac:dyDescent="0.2">
      <c r="A94" t="s">
        <v>397</v>
      </c>
      <c r="B94" t="s">
        <v>396</v>
      </c>
      <c r="C94" t="s">
        <v>236</v>
      </c>
      <c r="D94" t="s">
        <v>55</v>
      </c>
    </row>
    <row r="95" spans="1:4" x14ac:dyDescent="0.2">
      <c r="A95" t="s">
        <v>399</v>
      </c>
      <c r="B95" t="s">
        <v>398</v>
      </c>
      <c r="C95" t="s">
        <v>236</v>
      </c>
      <c r="D95" t="s">
        <v>88</v>
      </c>
    </row>
    <row r="96" spans="1:4" x14ac:dyDescent="0.2">
      <c r="A96" t="s">
        <v>401</v>
      </c>
      <c r="B96" t="s">
        <v>400</v>
      </c>
      <c r="C96" t="s">
        <v>236</v>
      </c>
      <c r="D96" t="s">
        <v>55</v>
      </c>
    </row>
    <row r="97" spans="1:4" x14ac:dyDescent="0.2">
      <c r="A97" t="s">
        <v>403</v>
      </c>
      <c r="B97" t="s">
        <v>402</v>
      </c>
      <c r="C97" t="s">
        <v>236</v>
      </c>
      <c r="D97" t="s">
        <v>55</v>
      </c>
    </row>
    <row r="98" spans="1:4" x14ac:dyDescent="0.2">
      <c r="A98" t="s">
        <v>405</v>
      </c>
      <c r="B98" t="s">
        <v>404</v>
      </c>
      <c r="C98" t="s">
        <v>236</v>
      </c>
      <c r="D98" t="s">
        <v>55</v>
      </c>
    </row>
    <row r="99" spans="1:4" x14ac:dyDescent="0.2">
      <c r="A99" t="s">
        <v>407</v>
      </c>
      <c r="B99" t="s">
        <v>406</v>
      </c>
      <c r="C99" t="s">
        <v>236</v>
      </c>
      <c r="D99" t="s">
        <v>55</v>
      </c>
    </row>
    <row r="100" spans="1:4" x14ac:dyDescent="0.2">
      <c r="A100" t="s">
        <v>142</v>
      </c>
      <c r="B100" t="s">
        <v>408</v>
      </c>
      <c r="C100" t="s">
        <v>236</v>
      </c>
      <c r="D100" t="s">
        <v>55</v>
      </c>
    </row>
    <row r="101" spans="1:4" x14ac:dyDescent="0.2">
      <c r="A101" t="s">
        <v>410</v>
      </c>
      <c r="B101" t="s">
        <v>409</v>
      </c>
      <c r="C101" t="s">
        <v>236</v>
      </c>
      <c r="D101" t="s">
        <v>55</v>
      </c>
    </row>
    <row r="102" spans="1:4" x14ac:dyDescent="0.2">
      <c r="A102" t="s">
        <v>412</v>
      </c>
      <c r="B102" t="s">
        <v>411</v>
      </c>
      <c r="C102" t="s">
        <v>236</v>
      </c>
      <c r="D102" t="s">
        <v>55</v>
      </c>
    </row>
    <row r="103" spans="1:4" x14ac:dyDescent="0.2">
      <c r="A103" t="s">
        <v>414</v>
      </c>
      <c r="B103" t="s">
        <v>413</v>
      </c>
      <c r="C103" t="s">
        <v>236</v>
      </c>
      <c r="D103" t="s">
        <v>55</v>
      </c>
    </row>
    <row r="104" spans="1:4" x14ac:dyDescent="0.2">
      <c r="A104" t="s">
        <v>416</v>
      </c>
      <c r="B104" t="s">
        <v>415</v>
      </c>
      <c r="C104" t="s">
        <v>236</v>
      </c>
      <c r="D104" t="s">
        <v>55</v>
      </c>
    </row>
    <row r="105" spans="1:4" x14ac:dyDescent="0.2">
      <c r="A105" t="s">
        <v>418</v>
      </c>
      <c r="B105" t="s">
        <v>417</v>
      </c>
      <c r="C105" t="s">
        <v>236</v>
      </c>
      <c r="D105" t="s">
        <v>55</v>
      </c>
    </row>
    <row r="106" spans="1:4" x14ac:dyDescent="0.2">
      <c r="A106" t="s">
        <v>420</v>
      </c>
      <c r="B106" t="s">
        <v>419</v>
      </c>
      <c r="C106" t="s">
        <v>236</v>
      </c>
      <c r="D106" t="s">
        <v>55</v>
      </c>
    </row>
    <row r="107" spans="1:4" x14ac:dyDescent="0.2">
      <c r="A107" t="s">
        <v>422</v>
      </c>
      <c r="B107" t="s">
        <v>421</v>
      </c>
      <c r="C107" t="s">
        <v>236</v>
      </c>
      <c r="D107" t="s">
        <v>55</v>
      </c>
    </row>
    <row r="108" spans="1:4" x14ac:dyDescent="0.2">
      <c r="A108" t="s">
        <v>424</v>
      </c>
      <c r="B108" t="s">
        <v>423</v>
      </c>
      <c r="C108" t="s">
        <v>236</v>
      </c>
      <c r="D108" t="s">
        <v>55</v>
      </c>
    </row>
    <row r="109" spans="1:4" x14ac:dyDescent="0.2">
      <c r="A109" t="s">
        <v>426</v>
      </c>
      <c r="B109" t="s">
        <v>425</v>
      </c>
      <c r="C109" t="s">
        <v>236</v>
      </c>
      <c r="D109" t="s">
        <v>55</v>
      </c>
    </row>
    <row r="110" spans="1:4" x14ac:dyDescent="0.2">
      <c r="A110" t="s">
        <v>428</v>
      </c>
      <c r="B110" t="s">
        <v>427</v>
      </c>
      <c r="C110" t="s">
        <v>236</v>
      </c>
      <c r="D110" t="s">
        <v>55</v>
      </c>
    </row>
    <row r="111" spans="1:4" x14ac:dyDescent="0.2">
      <c r="A111" t="s">
        <v>430</v>
      </c>
      <c r="B111" t="s">
        <v>429</v>
      </c>
      <c r="C111" t="s">
        <v>236</v>
      </c>
      <c r="D111" t="s">
        <v>55</v>
      </c>
    </row>
    <row r="112" spans="1:4" x14ac:dyDescent="0.2">
      <c r="A112" t="s">
        <v>89</v>
      </c>
      <c r="B112" t="s">
        <v>431</v>
      </c>
      <c r="C112" t="s">
        <v>250</v>
      </c>
      <c r="D112" t="s">
        <v>87</v>
      </c>
    </row>
    <row r="113" spans="1:4" x14ac:dyDescent="0.2">
      <c r="A113" t="s">
        <v>433</v>
      </c>
      <c r="B113" t="s">
        <v>432</v>
      </c>
      <c r="C113" t="s">
        <v>236</v>
      </c>
      <c r="D113" t="s">
        <v>52</v>
      </c>
    </row>
    <row r="114" spans="1:4" x14ac:dyDescent="0.2">
      <c r="A114" t="s">
        <v>435</v>
      </c>
      <c r="B114" t="s">
        <v>434</v>
      </c>
      <c r="C114" t="s">
        <v>236</v>
      </c>
      <c r="D114" t="s">
        <v>52</v>
      </c>
    </row>
    <row r="115" spans="1:4" x14ac:dyDescent="0.2">
      <c r="A115" t="s">
        <v>437</v>
      </c>
      <c r="B115" t="s">
        <v>436</v>
      </c>
      <c r="C115" t="s">
        <v>236</v>
      </c>
      <c r="D115" t="s">
        <v>52</v>
      </c>
    </row>
    <row r="116" spans="1:4" x14ac:dyDescent="0.2">
      <c r="A116" t="s">
        <v>439</v>
      </c>
      <c r="B116" t="s">
        <v>438</v>
      </c>
      <c r="C116" t="s">
        <v>236</v>
      </c>
      <c r="D116" t="s">
        <v>52</v>
      </c>
    </row>
    <row r="117" spans="1:4" x14ac:dyDescent="0.2">
      <c r="A117" t="s">
        <v>440</v>
      </c>
      <c r="B117">
        <v>8674444</v>
      </c>
      <c r="C117" t="s">
        <v>236</v>
      </c>
      <c r="D117" t="s">
        <v>52</v>
      </c>
    </row>
    <row r="118" spans="1:4" x14ac:dyDescent="0.2">
      <c r="A118" t="s">
        <v>442</v>
      </c>
      <c r="B118" t="s">
        <v>441</v>
      </c>
      <c r="C118" t="s">
        <v>250</v>
      </c>
      <c r="D118" t="s">
        <v>87</v>
      </c>
    </row>
    <row r="119" spans="1:4" x14ac:dyDescent="0.2">
      <c r="A119" t="s">
        <v>444</v>
      </c>
      <c r="B119" t="s">
        <v>443</v>
      </c>
      <c r="C119" t="s">
        <v>250</v>
      </c>
      <c r="D119" t="s">
        <v>87</v>
      </c>
    </row>
    <row r="120" spans="1:4" x14ac:dyDescent="0.2">
      <c r="A120" t="s">
        <v>446</v>
      </c>
      <c r="B120" t="s">
        <v>445</v>
      </c>
      <c r="C120" t="s">
        <v>250</v>
      </c>
      <c r="D120" t="s">
        <v>87</v>
      </c>
    </row>
    <row r="121" spans="1:4" x14ac:dyDescent="0.2">
      <c r="A121" t="s">
        <v>448</v>
      </c>
      <c r="B121" t="s">
        <v>447</v>
      </c>
      <c r="C121" t="s">
        <v>236</v>
      </c>
      <c r="D121" t="s">
        <v>52</v>
      </c>
    </row>
    <row r="122" spans="1:4" x14ac:dyDescent="0.2">
      <c r="A122" t="s">
        <v>450</v>
      </c>
      <c r="B122" t="s">
        <v>449</v>
      </c>
      <c r="C122" t="s">
        <v>250</v>
      </c>
      <c r="D122" t="s">
        <v>212</v>
      </c>
    </row>
    <row r="123" spans="1:4" x14ac:dyDescent="0.2">
      <c r="A123" t="s">
        <v>452</v>
      </c>
      <c r="B123" t="s">
        <v>451</v>
      </c>
      <c r="C123" t="s">
        <v>250</v>
      </c>
      <c r="D123" t="s">
        <v>87</v>
      </c>
    </row>
    <row r="124" spans="1:4" x14ac:dyDescent="0.2">
      <c r="A124" t="s">
        <v>454</v>
      </c>
      <c r="B124" t="s">
        <v>453</v>
      </c>
      <c r="C124" t="s">
        <v>236</v>
      </c>
      <c r="D124" t="s">
        <v>52</v>
      </c>
    </row>
    <row r="125" spans="1:4" x14ac:dyDescent="0.2">
      <c r="A125" t="s">
        <v>456</v>
      </c>
      <c r="B125" t="s">
        <v>455</v>
      </c>
      <c r="C125" t="s">
        <v>236</v>
      </c>
      <c r="D125" t="s">
        <v>55</v>
      </c>
    </row>
    <row r="126" spans="1:4" x14ac:dyDescent="0.2">
      <c r="A126" t="s">
        <v>458</v>
      </c>
      <c r="B126" t="s">
        <v>457</v>
      </c>
      <c r="C126" t="s">
        <v>250</v>
      </c>
      <c r="D126" t="s">
        <v>87</v>
      </c>
    </row>
    <row r="127" spans="1:4" x14ac:dyDescent="0.2">
      <c r="A127" t="s">
        <v>460</v>
      </c>
      <c r="B127" t="s">
        <v>459</v>
      </c>
      <c r="C127" t="s">
        <v>236</v>
      </c>
      <c r="D127" t="s">
        <v>86</v>
      </c>
    </row>
    <row r="128" spans="1:4" x14ac:dyDescent="0.2">
      <c r="A128" t="s">
        <v>59</v>
      </c>
      <c r="B128" t="s">
        <v>461</v>
      </c>
      <c r="C128" t="s">
        <v>236</v>
      </c>
      <c r="D128" t="s">
        <v>86</v>
      </c>
    </row>
    <row r="129" spans="1:4" x14ac:dyDescent="0.2">
      <c r="A129" t="s">
        <v>463</v>
      </c>
      <c r="B129" t="s">
        <v>462</v>
      </c>
      <c r="C129" t="s">
        <v>236</v>
      </c>
      <c r="D129" t="s">
        <v>52</v>
      </c>
    </row>
    <row r="130" spans="1:4" x14ac:dyDescent="0.2">
      <c r="A130" t="s">
        <v>465</v>
      </c>
      <c r="B130" t="s">
        <v>464</v>
      </c>
      <c r="C130" t="s">
        <v>250</v>
      </c>
      <c r="D130" t="s">
        <v>87</v>
      </c>
    </row>
    <row r="131" spans="1:4" x14ac:dyDescent="0.2">
      <c r="A131" t="s">
        <v>467</v>
      </c>
      <c r="B131" t="s">
        <v>466</v>
      </c>
      <c r="C131" t="s">
        <v>250</v>
      </c>
      <c r="D131" t="s">
        <v>212</v>
      </c>
    </row>
    <row r="132" spans="1:4" x14ac:dyDescent="0.2">
      <c r="A132" t="s">
        <v>62</v>
      </c>
      <c r="B132" t="s">
        <v>468</v>
      </c>
      <c r="C132" t="s">
        <v>250</v>
      </c>
      <c r="D132" t="s">
        <v>212</v>
      </c>
    </row>
    <row r="133" spans="1:4" x14ac:dyDescent="0.2">
      <c r="A133" t="s">
        <v>470</v>
      </c>
      <c r="B133" t="s">
        <v>469</v>
      </c>
      <c r="C133" t="s">
        <v>250</v>
      </c>
      <c r="D133" t="s">
        <v>214</v>
      </c>
    </row>
    <row r="134" spans="1:4" x14ac:dyDescent="0.2">
      <c r="A134" t="s">
        <v>196</v>
      </c>
      <c r="B134" t="s">
        <v>471</v>
      </c>
      <c r="C134" t="s">
        <v>250</v>
      </c>
      <c r="D134" t="s">
        <v>87</v>
      </c>
    </row>
    <row r="135" spans="1:4" x14ac:dyDescent="0.2">
      <c r="A135" t="s">
        <v>63</v>
      </c>
      <c r="B135">
        <v>8676591</v>
      </c>
      <c r="C135" t="s">
        <v>250</v>
      </c>
      <c r="D135" t="s">
        <v>212</v>
      </c>
    </row>
    <row r="136" spans="1:4" x14ac:dyDescent="0.2">
      <c r="A136" t="s">
        <v>473</v>
      </c>
      <c r="B136" t="s">
        <v>472</v>
      </c>
      <c r="C136" t="s">
        <v>250</v>
      </c>
      <c r="D136" t="s">
        <v>212</v>
      </c>
    </row>
    <row r="137" spans="1:4" x14ac:dyDescent="0.2">
      <c r="A137" t="s">
        <v>83</v>
      </c>
      <c r="B137">
        <v>8676593</v>
      </c>
      <c r="C137" t="s">
        <v>250</v>
      </c>
      <c r="D137" t="s">
        <v>87</v>
      </c>
    </row>
    <row r="138" spans="1:4" x14ac:dyDescent="0.2">
      <c r="A138" t="s">
        <v>475</v>
      </c>
      <c r="B138" t="s">
        <v>474</v>
      </c>
      <c r="C138" t="s">
        <v>250</v>
      </c>
      <c r="D138" t="s">
        <v>87</v>
      </c>
    </row>
    <row r="139" spans="1:4" x14ac:dyDescent="0.2">
      <c r="A139" t="s">
        <v>280</v>
      </c>
      <c r="B139" t="s">
        <v>476</v>
      </c>
      <c r="C139" t="s">
        <v>250</v>
      </c>
      <c r="D139" t="s">
        <v>212</v>
      </c>
    </row>
    <row r="140" spans="1:4" x14ac:dyDescent="0.2">
      <c r="A140" t="s">
        <v>478</v>
      </c>
      <c r="B140" t="s">
        <v>477</v>
      </c>
      <c r="C140" t="s">
        <v>250</v>
      </c>
      <c r="D140" t="s">
        <v>212</v>
      </c>
    </row>
    <row r="141" spans="1:4" x14ac:dyDescent="0.2">
      <c r="A141" t="s">
        <v>480</v>
      </c>
      <c r="B141" t="s">
        <v>479</v>
      </c>
      <c r="C141" t="s">
        <v>250</v>
      </c>
      <c r="D141" t="s">
        <v>214</v>
      </c>
    </row>
    <row r="142" spans="1:4" x14ac:dyDescent="0.2">
      <c r="A142" t="s">
        <v>482</v>
      </c>
      <c r="B142" t="s">
        <v>481</v>
      </c>
      <c r="C142" t="s">
        <v>236</v>
      </c>
      <c r="D142" t="s">
        <v>55</v>
      </c>
    </row>
    <row r="143" spans="1:4" x14ac:dyDescent="0.2">
      <c r="A143" t="s">
        <v>484</v>
      </c>
      <c r="B143" t="s">
        <v>483</v>
      </c>
      <c r="C143" t="s">
        <v>250</v>
      </c>
      <c r="D143" t="s">
        <v>87</v>
      </c>
    </row>
    <row r="144" spans="1:4" x14ac:dyDescent="0.2">
      <c r="A144" t="s">
        <v>486</v>
      </c>
      <c r="B144" t="s">
        <v>485</v>
      </c>
      <c r="C144" t="s">
        <v>236</v>
      </c>
      <c r="D144" t="s">
        <v>52</v>
      </c>
    </row>
    <row r="145" spans="1:4" x14ac:dyDescent="0.2">
      <c r="A145" t="s">
        <v>488</v>
      </c>
      <c r="B145" t="s">
        <v>487</v>
      </c>
      <c r="C145" t="s">
        <v>250</v>
      </c>
      <c r="D145" t="s">
        <v>214</v>
      </c>
    </row>
    <row r="146" spans="1:4" x14ac:dyDescent="0.2">
      <c r="A146" t="s">
        <v>490</v>
      </c>
      <c r="B146" t="s">
        <v>489</v>
      </c>
      <c r="C146" t="s">
        <v>250</v>
      </c>
      <c r="D146" t="s">
        <v>87</v>
      </c>
    </row>
    <row r="147" spans="1:4" x14ac:dyDescent="0.2">
      <c r="A147" t="s">
        <v>492</v>
      </c>
      <c r="B147" t="s">
        <v>491</v>
      </c>
      <c r="C147" t="s">
        <v>250</v>
      </c>
      <c r="D147" t="s">
        <v>87</v>
      </c>
    </row>
    <row r="148" spans="1:4" x14ac:dyDescent="0.2">
      <c r="A148" t="s">
        <v>494</v>
      </c>
      <c r="B148" t="s">
        <v>493</v>
      </c>
      <c r="C148" t="s">
        <v>250</v>
      </c>
      <c r="D148" t="s">
        <v>212</v>
      </c>
    </row>
    <row r="149" spans="1:4" x14ac:dyDescent="0.2">
      <c r="A149" t="s">
        <v>496</v>
      </c>
      <c r="B149" t="s">
        <v>495</v>
      </c>
      <c r="C149" t="s">
        <v>250</v>
      </c>
      <c r="D149" t="s">
        <v>212</v>
      </c>
    </row>
    <row r="150" spans="1:4" x14ac:dyDescent="0.2">
      <c r="A150" t="s">
        <v>183</v>
      </c>
      <c r="B150" t="s">
        <v>497</v>
      </c>
      <c r="C150" t="s">
        <v>250</v>
      </c>
      <c r="D150" t="s">
        <v>214</v>
      </c>
    </row>
    <row r="151" spans="1:4" x14ac:dyDescent="0.2">
      <c r="A151" t="s">
        <v>499</v>
      </c>
      <c r="B151" t="s">
        <v>498</v>
      </c>
      <c r="C151" t="s">
        <v>250</v>
      </c>
      <c r="D151" t="s">
        <v>87</v>
      </c>
    </row>
    <row r="152" spans="1:4" x14ac:dyDescent="0.2">
      <c r="A152" t="s">
        <v>501</v>
      </c>
      <c r="B152" t="s">
        <v>500</v>
      </c>
      <c r="C152" t="s">
        <v>250</v>
      </c>
      <c r="D152" t="s">
        <v>87</v>
      </c>
    </row>
    <row r="153" spans="1:4" x14ac:dyDescent="0.2">
      <c r="A153" t="s">
        <v>503</v>
      </c>
      <c r="B153" t="s">
        <v>502</v>
      </c>
      <c r="C153" t="s">
        <v>250</v>
      </c>
      <c r="D153" t="s">
        <v>212</v>
      </c>
    </row>
    <row r="154" spans="1:4" x14ac:dyDescent="0.2">
      <c r="A154" t="s">
        <v>505</v>
      </c>
      <c r="B154" t="s">
        <v>504</v>
      </c>
      <c r="C154" t="s">
        <v>250</v>
      </c>
      <c r="D154" t="s">
        <v>212</v>
      </c>
    </row>
    <row r="155" spans="1:4" x14ac:dyDescent="0.2">
      <c r="A155" t="s">
        <v>507</v>
      </c>
      <c r="B155" t="s">
        <v>506</v>
      </c>
      <c r="C155" t="s">
        <v>250</v>
      </c>
      <c r="D155" t="s">
        <v>212</v>
      </c>
    </row>
    <row r="156" spans="1:4" x14ac:dyDescent="0.2">
      <c r="A156" t="s">
        <v>509</v>
      </c>
      <c r="B156" t="s">
        <v>508</v>
      </c>
      <c r="C156" t="s">
        <v>236</v>
      </c>
      <c r="D156" t="s">
        <v>52</v>
      </c>
    </row>
    <row r="157" spans="1:4" x14ac:dyDescent="0.2">
      <c r="A157" t="s">
        <v>511</v>
      </c>
      <c r="B157" t="s">
        <v>510</v>
      </c>
      <c r="C157" t="s">
        <v>250</v>
      </c>
      <c r="D157" t="s">
        <v>214</v>
      </c>
    </row>
    <row r="158" spans="1:4" x14ac:dyDescent="0.2">
      <c r="A158" t="s">
        <v>513</v>
      </c>
      <c r="B158" t="s">
        <v>512</v>
      </c>
      <c r="C158" t="s">
        <v>250</v>
      </c>
      <c r="D158" t="s">
        <v>212</v>
      </c>
    </row>
    <row r="159" spans="1:4" x14ac:dyDescent="0.2">
      <c r="A159" t="s">
        <v>515</v>
      </c>
      <c r="B159" t="s">
        <v>514</v>
      </c>
      <c r="C159" t="s">
        <v>250</v>
      </c>
      <c r="D159" t="s">
        <v>214</v>
      </c>
    </row>
    <row r="160" spans="1:4" x14ac:dyDescent="0.2">
      <c r="A160" t="s">
        <v>517</v>
      </c>
      <c r="B160" t="s">
        <v>516</v>
      </c>
      <c r="C160" t="s">
        <v>250</v>
      </c>
      <c r="D160" t="s">
        <v>87</v>
      </c>
    </row>
    <row r="161" spans="1:4" x14ac:dyDescent="0.2">
      <c r="A161" t="s">
        <v>519</v>
      </c>
      <c r="B161" t="s">
        <v>518</v>
      </c>
      <c r="C161" t="s">
        <v>250</v>
      </c>
      <c r="D161" t="s">
        <v>212</v>
      </c>
    </row>
    <row r="162" spans="1:4" x14ac:dyDescent="0.2">
      <c r="A162" t="s">
        <v>521</v>
      </c>
      <c r="B162" t="s">
        <v>520</v>
      </c>
      <c r="C162" t="s">
        <v>236</v>
      </c>
      <c r="D162" t="s">
        <v>55</v>
      </c>
    </row>
    <row r="163" spans="1:4" x14ac:dyDescent="0.2">
      <c r="A163" t="s">
        <v>190</v>
      </c>
      <c r="B163">
        <v>8630191</v>
      </c>
      <c r="C163" t="s">
        <v>236</v>
      </c>
      <c r="D163" t="s">
        <v>55</v>
      </c>
    </row>
    <row r="164" spans="1:4" x14ac:dyDescent="0.2">
      <c r="A164" t="s">
        <v>523</v>
      </c>
      <c r="B164" t="s">
        <v>522</v>
      </c>
      <c r="C164" t="s">
        <v>236</v>
      </c>
      <c r="D164" t="s">
        <v>55</v>
      </c>
    </row>
    <row r="165" spans="1:4" x14ac:dyDescent="0.2">
      <c r="A165" t="s">
        <v>525</v>
      </c>
      <c r="B165" t="s">
        <v>524</v>
      </c>
      <c r="C165" t="s">
        <v>250</v>
      </c>
      <c r="D165" t="s">
        <v>212</v>
      </c>
    </row>
    <row r="166" spans="1:4" x14ac:dyDescent="0.2">
      <c r="A166" t="s">
        <v>527</v>
      </c>
      <c r="B166" t="s">
        <v>526</v>
      </c>
      <c r="C166" t="s">
        <v>250</v>
      </c>
      <c r="D166" t="s">
        <v>212</v>
      </c>
    </row>
    <row r="167" spans="1:4" x14ac:dyDescent="0.2">
      <c r="A167" t="s">
        <v>529</v>
      </c>
      <c r="B167" t="s">
        <v>528</v>
      </c>
      <c r="C167" t="s">
        <v>250</v>
      </c>
      <c r="D167" t="s">
        <v>214</v>
      </c>
    </row>
    <row r="168" spans="1:4" x14ac:dyDescent="0.2">
      <c r="A168" t="s">
        <v>531</v>
      </c>
      <c r="B168" t="s">
        <v>530</v>
      </c>
      <c r="C168" t="s">
        <v>250</v>
      </c>
      <c r="D168" t="s">
        <v>87</v>
      </c>
    </row>
    <row r="169" spans="1:4" x14ac:dyDescent="0.2">
      <c r="A169" t="s">
        <v>81</v>
      </c>
      <c r="B169" t="s">
        <v>532</v>
      </c>
      <c r="C169" t="s">
        <v>250</v>
      </c>
      <c r="D169" t="s">
        <v>87</v>
      </c>
    </row>
    <row r="170" spans="1:4" x14ac:dyDescent="0.2">
      <c r="A170" t="s">
        <v>534</v>
      </c>
      <c r="B170" t="s">
        <v>533</v>
      </c>
      <c r="C170" t="s">
        <v>236</v>
      </c>
      <c r="D170" t="s">
        <v>52</v>
      </c>
    </row>
    <row r="171" spans="1:4" x14ac:dyDescent="0.2">
      <c r="A171" t="s">
        <v>536</v>
      </c>
      <c r="B171" t="s">
        <v>535</v>
      </c>
      <c r="C171" t="s">
        <v>236</v>
      </c>
      <c r="D171" t="s">
        <v>52</v>
      </c>
    </row>
    <row r="172" spans="1:4" x14ac:dyDescent="0.2">
      <c r="A172" t="s">
        <v>538</v>
      </c>
      <c r="B172" t="s">
        <v>537</v>
      </c>
      <c r="C172" t="s">
        <v>236</v>
      </c>
      <c r="D172" t="s">
        <v>55</v>
      </c>
    </row>
    <row r="173" spans="1:4" x14ac:dyDescent="0.2">
      <c r="A173" t="s">
        <v>540</v>
      </c>
      <c r="B173" t="s">
        <v>539</v>
      </c>
      <c r="C173" t="s">
        <v>236</v>
      </c>
      <c r="D173" t="s">
        <v>55</v>
      </c>
    </row>
    <row r="174" spans="1:4" x14ac:dyDescent="0.2">
      <c r="A174" t="s">
        <v>205</v>
      </c>
      <c r="B174" t="s">
        <v>541</v>
      </c>
      <c r="C174" t="s">
        <v>250</v>
      </c>
      <c r="D174" t="s">
        <v>212</v>
      </c>
    </row>
    <row r="175" spans="1:4" x14ac:dyDescent="0.2">
      <c r="A175" t="s">
        <v>192</v>
      </c>
      <c r="B175" t="s">
        <v>542</v>
      </c>
      <c r="C175" t="s">
        <v>250</v>
      </c>
      <c r="D175" t="s">
        <v>212</v>
      </c>
    </row>
    <row r="176" spans="1:4" x14ac:dyDescent="0.2">
      <c r="A176" t="s">
        <v>544</v>
      </c>
      <c r="B176" t="s">
        <v>543</v>
      </c>
      <c r="C176" t="s">
        <v>250</v>
      </c>
      <c r="D176" t="s">
        <v>212</v>
      </c>
    </row>
    <row r="177" spans="1:4" x14ac:dyDescent="0.2">
      <c r="A177" t="s">
        <v>546</v>
      </c>
      <c r="B177" t="s">
        <v>545</v>
      </c>
      <c r="C177" t="s">
        <v>250</v>
      </c>
      <c r="D177" t="s">
        <v>212</v>
      </c>
    </row>
    <row r="178" spans="1:4" x14ac:dyDescent="0.2">
      <c r="A178" t="s">
        <v>548</v>
      </c>
      <c r="B178" t="s">
        <v>547</v>
      </c>
      <c r="C178" t="s">
        <v>250</v>
      </c>
      <c r="D178" t="s">
        <v>212</v>
      </c>
    </row>
    <row r="179" spans="1:4" x14ac:dyDescent="0.2">
      <c r="A179" t="s">
        <v>550</v>
      </c>
      <c r="B179" t="s">
        <v>549</v>
      </c>
      <c r="C179" t="s">
        <v>250</v>
      </c>
      <c r="D179" t="s">
        <v>212</v>
      </c>
    </row>
    <row r="180" spans="1:4" x14ac:dyDescent="0.2">
      <c r="A180" t="s">
        <v>552</v>
      </c>
      <c r="B180" t="s">
        <v>551</v>
      </c>
      <c r="C180" t="s">
        <v>250</v>
      </c>
      <c r="D180" t="s">
        <v>212</v>
      </c>
    </row>
    <row r="181" spans="1:4" x14ac:dyDescent="0.2">
      <c r="A181" t="s">
        <v>554</v>
      </c>
      <c r="B181" t="s">
        <v>553</v>
      </c>
      <c r="C181" t="s">
        <v>239</v>
      </c>
      <c r="D181" t="s">
        <v>109</v>
      </c>
    </row>
    <row r="182" spans="1:4" x14ac:dyDescent="0.2">
      <c r="A182" t="s">
        <v>556</v>
      </c>
      <c r="B182" t="s">
        <v>555</v>
      </c>
      <c r="C182" t="s">
        <v>250</v>
      </c>
      <c r="D182" t="s">
        <v>212</v>
      </c>
    </row>
    <row r="183" spans="1:4" x14ac:dyDescent="0.2">
      <c r="A183" t="s">
        <v>558</v>
      </c>
      <c r="B183" t="s">
        <v>557</v>
      </c>
      <c r="C183" t="s">
        <v>236</v>
      </c>
      <c r="D183" t="s">
        <v>55</v>
      </c>
    </row>
    <row r="184" spans="1:4" x14ac:dyDescent="0.2">
      <c r="A184" t="s">
        <v>560</v>
      </c>
      <c r="B184" t="s">
        <v>559</v>
      </c>
      <c r="C184" t="s">
        <v>250</v>
      </c>
      <c r="D184" t="s">
        <v>212</v>
      </c>
    </row>
    <row r="185" spans="1:4" x14ac:dyDescent="0.2">
      <c r="A185" t="s">
        <v>562</v>
      </c>
      <c r="B185" t="s">
        <v>561</v>
      </c>
      <c r="C185" t="s">
        <v>250</v>
      </c>
      <c r="D185" t="s">
        <v>212</v>
      </c>
    </row>
    <row r="186" spans="1:4" x14ac:dyDescent="0.2">
      <c r="A186" t="s">
        <v>564</v>
      </c>
      <c r="B186" t="s">
        <v>563</v>
      </c>
      <c r="C186" t="s">
        <v>250</v>
      </c>
      <c r="D186" t="s">
        <v>212</v>
      </c>
    </row>
    <row r="187" spans="1:4" x14ac:dyDescent="0.2">
      <c r="A187" t="s">
        <v>566</v>
      </c>
      <c r="B187" t="s">
        <v>565</v>
      </c>
      <c r="C187" t="s">
        <v>250</v>
      </c>
      <c r="D187" t="s">
        <v>212</v>
      </c>
    </row>
    <row r="188" spans="1:4" x14ac:dyDescent="0.2">
      <c r="A188" t="s">
        <v>568</v>
      </c>
      <c r="B188" t="s">
        <v>567</v>
      </c>
      <c r="C188" t="s">
        <v>250</v>
      </c>
      <c r="D188" t="s">
        <v>212</v>
      </c>
    </row>
    <row r="189" spans="1:4" x14ac:dyDescent="0.2">
      <c r="A189" t="s">
        <v>570</v>
      </c>
      <c r="B189" t="s">
        <v>569</v>
      </c>
      <c r="C189" t="s">
        <v>250</v>
      </c>
      <c r="D189" t="s">
        <v>212</v>
      </c>
    </row>
    <row r="190" spans="1:4" x14ac:dyDescent="0.2">
      <c r="A190" t="s">
        <v>572</v>
      </c>
      <c r="B190" t="s">
        <v>571</v>
      </c>
      <c r="C190" t="s">
        <v>250</v>
      </c>
      <c r="D190" t="s">
        <v>212</v>
      </c>
    </row>
    <row r="191" spans="1:4" x14ac:dyDescent="0.2">
      <c r="A191" t="s">
        <v>574</v>
      </c>
      <c r="B191" t="s">
        <v>573</v>
      </c>
      <c r="C191" t="s">
        <v>250</v>
      </c>
      <c r="D191" t="s">
        <v>212</v>
      </c>
    </row>
    <row r="192" spans="1:4" x14ac:dyDescent="0.2">
      <c r="A192" t="s">
        <v>576</v>
      </c>
      <c r="B192" t="s">
        <v>575</v>
      </c>
      <c r="C192" t="s">
        <v>250</v>
      </c>
      <c r="D192" t="s">
        <v>212</v>
      </c>
    </row>
    <row r="193" spans="1:4" x14ac:dyDescent="0.2">
      <c r="A193" t="s">
        <v>578</v>
      </c>
      <c r="B193" t="s">
        <v>577</v>
      </c>
      <c r="C193" t="s">
        <v>250</v>
      </c>
      <c r="D193" t="s">
        <v>212</v>
      </c>
    </row>
    <row r="194" spans="1:4" x14ac:dyDescent="0.2">
      <c r="A194" t="s">
        <v>580</v>
      </c>
      <c r="B194" t="s">
        <v>579</v>
      </c>
      <c r="C194" t="s">
        <v>250</v>
      </c>
      <c r="D194" t="s">
        <v>214</v>
      </c>
    </row>
    <row r="195" spans="1:4" x14ac:dyDescent="0.2">
      <c r="A195" t="s">
        <v>582</v>
      </c>
      <c r="B195" t="s">
        <v>581</v>
      </c>
      <c r="C195" t="s">
        <v>250</v>
      </c>
      <c r="D195" t="s">
        <v>214</v>
      </c>
    </row>
    <row r="196" spans="1:4" x14ac:dyDescent="0.2">
      <c r="A196" t="s">
        <v>584</v>
      </c>
      <c r="B196" t="s">
        <v>583</v>
      </c>
      <c r="C196" t="s">
        <v>236</v>
      </c>
      <c r="D196" t="s">
        <v>86</v>
      </c>
    </row>
    <row r="197" spans="1:4" x14ac:dyDescent="0.2">
      <c r="A197" t="s">
        <v>586</v>
      </c>
      <c r="B197" t="s">
        <v>585</v>
      </c>
      <c r="C197" t="s">
        <v>250</v>
      </c>
      <c r="D197" t="s">
        <v>87</v>
      </c>
    </row>
    <row r="198" spans="1:4" x14ac:dyDescent="0.2">
      <c r="A198" t="s">
        <v>588</v>
      </c>
      <c r="B198" t="s">
        <v>587</v>
      </c>
      <c r="C198" t="s">
        <v>250</v>
      </c>
      <c r="D198" t="s">
        <v>87</v>
      </c>
    </row>
    <row r="199" spans="1:4" x14ac:dyDescent="0.2">
      <c r="A199" t="s">
        <v>590</v>
      </c>
      <c r="B199" t="s">
        <v>589</v>
      </c>
      <c r="C199" t="s">
        <v>250</v>
      </c>
      <c r="D199" t="s">
        <v>87</v>
      </c>
    </row>
    <row r="200" spans="1:4" x14ac:dyDescent="0.2">
      <c r="A200" t="s">
        <v>592</v>
      </c>
      <c r="B200" t="s">
        <v>591</v>
      </c>
      <c r="C200" t="s">
        <v>250</v>
      </c>
      <c r="D200" t="s">
        <v>87</v>
      </c>
    </row>
    <row r="201" spans="1:4" x14ac:dyDescent="0.2">
      <c r="A201" t="s">
        <v>594</v>
      </c>
      <c r="B201" t="s">
        <v>593</v>
      </c>
      <c r="C201" t="s">
        <v>250</v>
      </c>
      <c r="D201" t="s">
        <v>87</v>
      </c>
    </row>
    <row r="202" spans="1:4" x14ac:dyDescent="0.2">
      <c r="A202" t="s">
        <v>596</v>
      </c>
      <c r="B202" t="s">
        <v>595</v>
      </c>
      <c r="C202" t="s">
        <v>250</v>
      </c>
      <c r="D202" t="s">
        <v>87</v>
      </c>
    </row>
    <row r="203" spans="1:4" x14ac:dyDescent="0.2">
      <c r="A203" t="s">
        <v>598</v>
      </c>
      <c r="B203" t="s">
        <v>597</v>
      </c>
      <c r="C203" t="s">
        <v>236</v>
      </c>
      <c r="D203" t="s">
        <v>52</v>
      </c>
    </row>
    <row r="204" spans="1:4" x14ac:dyDescent="0.2">
      <c r="A204" t="s">
        <v>600</v>
      </c>
      <c r="B204" t="s">
        <v>599</v>
      </c>
      <c r="C204" t="s">
        <v>250</v>
      </c>
      <c r="D204" t="s">
        <v>212</v>
      </c>
    </row>
    <row r="205" spans="1:4" x14ac:dyDescent="0.2">
      <c r="A205" t="s">
        <v>602</v>
      </c>
      <c r="B205" t="s">
        <v>601</v>
      </c>
      <c r="C205" t="s">
        <v>250</v>
      </c>
      <c r="D205" t="s">
        <v>212</v>
      </c>
    </row>
    <row r="206" spans="1:4" x14ac:dyDescent="0.2">
      <c r="A206" t="s">
        <v>604</v>
      </c>
      <c r="B206" t="s">
        <v>603</v>
      </c>
      <c r="C206" t="s">
        <v>236</v>
      </c>
      <c r="D206" t="s">
        <v>52</v>
      </c>
    </row>
    <row r="207" spans="1:4" x14ac:dyDescent="0.2">
      <c r="A207" t="s">
        <v>606</v>
      </c>
      <c r="B207" t="s">
        <v>605</v>
      </c>
      <c r="C207" t="s">
        <v>250</v>
      </c>
      <c r="D207" t="s">
        <v>212</v>
      </c>
    </row>
    <row r="208" spans="1:4" x14ac:dyDescent="0.2">
      <c r="A208" t="s">
        <v>608</v>
      </c>
      <c r="B208" t="s">
        <v>607</v>
      </c>
      <c r="C208" t="s">
        <v>250</v>
      </c>
      <c r="D208" t="s">
        <v>214</v>
      </c>
    </row>
    <row r="209" spans="1:4" x14ac:dyDescent="0.2">
      <c r="A209" t="s">
        <v>610</v>
      </c>
      <c r="B209" t="s">
        <v>609</v>
      </c>
      <c r="C209" t="s">
        <v>250</v>
      </c>
      <c r="D209" t="s">
        <v>212</v>
      </c>
    </row>
    <row r="210" spans="1:4" x14ac:dyDescent="0.2">
      <c r="A210" t="s">
        <v>74</v>
      </c>
      <c r="B210" t="s">
        <v>611</v>
      </c>
      <c r="C210" t="s">
        <v>250</v>
      </c>
      <c r="D210" t="s">
        <v>214</v>
      </c>
    </row>
    <row r="211" spans="1:4" x14ac:dyDescent="0.2">
      <c r="A211" t="s">
        <v>613</v>
      </c>
      <c r="B211" t="s">
        <v>612</v>
      </c>
      <c r="C211" t="s">
        <v>250</v>
      </c>
      <c r="D211" t="s">
        <v>214</v>
      </c>
    </row>
    <row r="212" spans="1:4" x14ac:dyDescent="0.2">
      <c r="A212" t="s">
        <v>615</v>
      </c>
      <c r="B212" t="s">
        <v>614</v>
      </c>
      <c r="C212" t="s">
        <v>250</v>
      </c>
      <c r="D212" t="s">
        <v>87</v>
      </c>
    </row>
    <row r="213" spans="1:4" x14ac:dyDescent="0.2">
      <c r="A213" t="s">
        <v>617</v>
      </c>
      <c r="B213" t="s">
        <v>616</v>
      </c>
      <c r="C213" t="s">
        <v>250</v>
      </c>
      <c r="D213" t="s">
        <v>87</v>
      </c>
    </row>
    <row r="214" spans="1:4" x14ac:dyDescent="0.2">
      <c r="A214" t="s">
        <v>619</v>
      </c>
      <c r="B214" t="s">
        <v>618</v>
      </c>
      <c r="C214" t="s">
        <v>236</v>
      </c>
      <c r="D214" t="s">
        <v>52</v>
      </c>
    </row>
    <row r="215" spans="1:4" x14ac:dyDescent="0.2">
      <c r="A215" t="s">
        <v>621</v>
      </c>
      <c r="B215" t="s">
        <v>620</v>
      </c>
      <c r="C215" t="s">
        <v>236</v>
      </c>
      <c r="D215" t="s">
        <v>88</v>
      </c>
    </row>
    <row r="216" spans="1:4" x14ac:dyDescent="0.2">
      <c r="A216" t="s">
        <v>623</v>
      </c>
      <c r="B216" t="s">
        <v>622</v>
      </c>
      <c r="C216" t="s">
        <v>236</v>
      </c>
      <c r="D216" t="s">
        <v>55</v>
      </c>
    </row>
    <row r="217" spans="1:4" x14ac:dyDescent="0.2">
      <c r="A217" t="s">
        <v>141</v>
      </c>
      <c r="B217" t="s">
        <v>624</v>
      </c>
      <c r="C217" t="s">
        <v>236</v>
      </c>
      <c r="D217" t="s">
        <v>55</v>
      </c>
    </row>
    <row r="218" spans="1:4" x14ac:dyDescent="0.2">
      <c r="A218" t="s">
        <v>626</v>
      </c>
      <c r="B218" t="s">
        <v>625</v>
      </c>
      <c r="C218" t="s">
        <v>236</v>
      </c>
      <c r="D218" t="s">
        <v>55</v>
      </c>
    </row>
    <row r="219" spans="1:4" x14ac:dyDescent="0.2">
      <c r="A219" t="s">
        <v>628</v>
      </c>
      <c r="B219" t="s">
        <v>627</v>
      </c>
      <c r="C219" t="s">
        <v>236</v>
      </c>
      <c r="D219" t="s">
        <v>55</v>
      </c>
    </row>
    <row r="220" spans="1:4" x14ac:dyDescent="0.2">
      <c r="A220" t="s">
        <v>630</v>
      </c>
      <c r="B220" t="s">
        <v>629</v>
      </c>
      <c r="C220" t="s">
        <v>250</v>
      </c>
      <c r="D220" t="s">
        <v>212</v>
      </c>
    </row>
    <row r="221" spans="1:4" x14ac:dyDescent="0.2">
      <c r="A221" t="s">
        <v>632</v>
      </c>
      <c r="B221" t="s">
        <v>631</v>
      </c>
      <c r="C221" t="s">
        <v>250</v>
      </c>
      <c r="D221" t="s">
        <v>214</v>
      </c>
    </row>
    <row r="222" spans="1:4" x14ac:dyDescent="0.2">
      <c r="A222" t="s">
        <v>634</v>
      </c>
      <c r="B222" t="s">
        <v>633</v>
      </c>
      <c r="C222" t="s">
        <v>250</v>
      </c>
      <c r="D222" t="s">
        <v>212</v>
      </c>
    </row>
    <row r="223" spans="1:4" x14ac:dyDescent="0.2">
      <c r="A223" t="s">
        <v>636</v>
      </c>
      <c r="B223" t="s">
        <v>635</v>
      </c>
      <c r="C223" t="s">
        <v>236</v>
      </c>
      <c r="D223" t="s">
        <v>52</v>
      </c>
    </row>
    <row r="224" spans="1:4" x14ac:dyDescent="0.2">
      <c r="A224" t="s">
        <v>638</v>
      </c>
      <c r="B224" t="s">
        <v>637</v>
      </c>
      <c r="C224" t="s">
        <v>236</v>
      </c>
      <c r="D224" t="s">
        <v>88</v>
      </c>
    </row>
    <row r="225" spans="1:4" x14ac:dyDescent="0.2">
      <c r="A225" t="s">
        <v>640</v>
      </c>
      <c r="B225" t="s">
        <v>639</v>
      </c>
      <c r="C225" t="s">
        <v>236</v>
      </c>
      <c r="D225" t="s">
        <v>55</v>
      </c>
    </row>
    <row r="226" spans="1:4" x14ac:dyDescent="0.2">
      <c r="A226" t="s">
        <v>642</v>
      </c>
      <c r="B226" t="s">
        <v>641</v>
      </c>
      <c r="C226" t="s">
        <v>250</v>
      </c>
      <c r="D226" t="s">
        <v>87</v>
      </c>
    </row>
    <row r="227" spans="1:4" x14ac:dyDescent="0.2">
      <c r="A227" t="s">
        <v>644</v>
      </c>
      <c r="B227" t="s">
        <v>643</v>
      </c>
      <c r="C227" t="s">
        <v>250</v>
      </c>
      <c r="D227" t="s">
        <v>212</v>
      </c>
    </row>
    <row r="228" spans="1:4" x14ac:dyDescent="0.2">
      <c r="A228" t="s">
        <v>646</v>
      </c>
      <c r="B228" t="s">
        <v>645</v>
      </c>
      <c r="C228" t="s">
        <v>250</v>
      </c>
      <c r="D228" t="s">
        <v>212</v>
      </c>
    </row>
    <row r="229" spans="1:4" x14ac:dyDescent="0.2">
      <c r="A229" t="s">
        <v>648</v>
      </c>
      <c r="B229" t="s">
        <v>647</v>
      </c>
      <c r="C229" t="s">
        <v>236</v>
      </c>
      <c r="D229" t="s">
        <v>55</v>
      </c>
    </row>
    <row r="230" spans="1:4" x14ac:dyDescent="0.2">
      <c r="A230" t="s">
        <v>650</v>
      </c>
      <c r="B230" t="s">
        <v>649</v>
      </c>
      <c r="C230" t="s">
        <v>250</v>
      </c>
      <c r="D230" t="s">
        <v>87</v>
      </c>
    </row>
    <row r="231" spans="1:4" x14ac:dyDescent="0.2">
      <c r="A231" t="s">
        <v>652</v>
      </c>
      <c r="B231" t="s">
        <v>651</v>
      </c>
      <c r="C231" t="s">
        <v>250</v>
      </c>
      <c r="D231" t="s">
        <v>87</v>
      </c>
    </row>
    <row r="232" spans="1:4" x14ac:dyDescent="0.2">
      <c r="A232" t="s">
        <v>654</v>
      </c>
      <c r="B232" t="s">
        <v>653</v>
      </c>
      <c r="C232" t="s">
        <v>250</v>
      </c>
      <c r="D232" t="s">
        <v>87</v>
      </c>
    </row>
    <row r="233" spans="1:4" x14ac:dyDescent="0.2">
      <c r="A233" t="s">
        <v>656</v>
      </c>
      <c r="B233" t="s">
        <v>655</v>
      </c>
      <c r="C233" t="s">
        <v>250</v>
      </c>
      <c r="D233" t="s">
        <v>87</v>
      </c>
    </row>
    <row r="234" spans="1:4" x14ac:dyDescent="0.2">
      <c r="A234" t="s">
        <v>658</v>
      </c>
      <c r="B234" t="s">
        <v>657</v>
      </c>
      <c r="C234" t="s">
        <v>250</v>
      </c>
      <c r="D234" t="s">
        <v>87</v>
      </c>
    </row>
    <row r="235" spans="1:4" x14ac:dyDescent="0.2">
      <c r="A235" t="s">
        <v>660</v>
      </c>
      <c r="B235" t="s">
        <v>659</v>
      </c>
      <c r="C235" t="s">
        <v>250</v>
      </c>
      <c r="D235" t="s">
        <v>87</v>
      </c>
    </row>
    <row r="236" spans="1:4" x14ac:dyDescent="0.2">
      <c r="A236" t="s">
        <v>662</v>
      </c>
      <c r="B236" t="s">
        <v>661</v>
      </c>
      <c r="C236" t="s">
        <v>250</v>
      </c>
      <c r="D236" t="s">
        <v>87</v>
      </c>
    </row>
    <row r="237" spans="1:4" x14ac:dyDescent="0.2">
      <c r="A237" t="s">
        <v>664</v>
      </c>
      <c r="B237" t="s">
        <v>663</v>
      </c>
      <c r="C237" t="s">
        <v>250</v>
      </c>
      <c r="D237" t="s">
        <v>87</v>
      </c>
    </row>
    <row r="238" spans="1:4" x14ac:dyDescent="0.2">
      <c r="A238" t="s">
        <v>666</v>
      </c>
      <c r="B238" t="s">
        <v>665</v>
      </c>
      <c r="C238" t="s">
        <v>250</v>
      </c>
      <c r="D238" t="s">
        <v>87</v>
      </c>
    </row>
    <row r="239" spans="1:4" x14ac:dyDescent="0.2">
      <c r="A239" t="s">
        <v>668</v>
      </c>
      <c r="B239" t="s">
        <v>667</v>
      </c>
      <c r="C239" t="s">
        <v>250</v>
      </c>
      <c r="D239" t="s">
        <v>87</v>
      </c>
    </row>
    <row r="240" spans="1:4" x14ac:dyDescent="0.2">
      <c r="A240" t="s">
        <v>670</v>
      </c>
      <c r="B240" t="s">
        <v>669</v>
      </c>
      <c r="C240" t="s">
        <v>250</v>
      </c>
      <c r="D240" t="s">
        <v>87</v>
      </c>
    </row>
    <row r="241" spans="1:4" x14ac:dyDescent="0.2">
      <c r="A241" t="s">
        <v>672</v>
      </c>
      <c r="B241" t="s">
        <v>671</v>
      </c>
      <c r="C241" t="s">
        <v>250</v>
      </c>
      <c r="D241" t="s">
        <v>212</v>
      </c>
    </row>
    <row r="242" spans="1:4" x14ac:dyDescent="0.2">
      <c r="A242" t="s">
        <v>674</v>
      </c>
      <c r="B242" t="s">
        <v>673</v>
      </c>
      <c r="C242" t="s">
        <v>236</v>
      </c>
      <c r="D242" t="s">
        <v>88</v>
      </c>
    </row>
    <row r="243" spans="1:4" x14ac:dyDescent="0.2">
      <c r="A243" t="s">
        <v>676</v>
      </c>
      <c r="B243" t="s">
        <v>675</v>
      </c>
      <c r="C243" t="s">
        <v>250</v>
      </c>
      <c r="D243" t="s">
        <v>212</v>
      </c>
    </row>
    <row r="244" spans="1:4" x14ac:dyDescent="0.2">
      <c r="A244" t="s">
        <v>678</v>
      </c>
      <c r="B244" t="s">
        <v>677</v>
      </c>
      <c r="C244" t="s">
        <v>250</v>
      </c>
      <c r="D244" t="s">
        <v>214</v>
      </c>
    </row>
    <row r="245" spans="1:4" x14ac:dyDescent="0.2">
      <c r="A245" t="s">
        <v>680</v>
      </c>
      <c r="B245" t="s">
        <v>679</v>
      </c>
      <c r="C245" t="s">
        <v>250</v>
      </c>
      <c r="D245" t="s">
        <v>214</v>
      </c>
    </row>
    <row r="246" spans="1:4" x14ac:dyDescent="0.2">
      <c r="A246" t="s">
        <v>682</v>
      </c>
      <c r="B246" t="s">
        <v>681</v>
      </c>
      <c r="C246" t="s">
        <v>236</v>
      </c>
      <c r="D246" t="s">
        <v>52</v>
      </c>
    </row>
    <row r="247" spans="1:4" x14ac:dyDescent="0.2">
      <c r="A247" t="s">
        <v>684</v>
      </c>
      <c r="B247" t="s">
        <v>683</v>
      </c>
      <c r="C247" t="s">
        <v>250</v>
      </c>
      <c r="D247" t="s">
        <v>87</v>
      </c>
    </row>
    <row r="248" spans="1:4" x14ac:dyDescent="0.2">
      <c r="A248" t="s">
        <v>686</v>
      </c>
      <c r="B248" t="s">
        <v>685</v>
      </c>
      <c r="C248" t="s">
        <v>236</v>
      </c>
      <c r="D248" t="s">
        <v>52</v>
      </c>
    </row>
    <row r="249" spans="1:4" x14ac:dyDescent="0.2">
      <c r="A249" t="s">
        <v>688</v>
      </c>
      <c r="B249" t="s">
        <v>687</v>
      </c>
      <c r="C249" t="s">
        <v>236</v>
      </c>
      <c r="D249" t="s">
        <v>55</v>
      </c>
    </row>
    <row r="250" spans="1:4" x14ac:dyDescent="0.2">
      <c r="A250" t="s">
        <v>690</v>
      </c>
      <c r="B250" t="s">
        <v>689</v>
      </c>
      <c r="C250" t="s">
        <v>250</v>
      </c>
      <c r="D250" t="s">
        <v>87</v>
      </c>
    </row>
    <row r="251" spans="1:4" x14ac:dyDescent="0.2">
      <c r="A251" t="s">
        <v>692</v>
      </c>
      <c r="B251" t="s">
        <v>691</v>
      </c>
      <c r="C251" t="s">
        <v>236</v>
      </c>
      <c r="D251" t="s">
        <v>55</v>
      </c>
    </row>
    <row r="252" spans="1:4" x14ac:dyDescent="0.2">
      <c r="A252" t="s">
        <v>694</v>
      </c>
      <c r="B252" t="s">
        <v>693</v>
      </c>
      <c r="C252" t="s">
        <v>250</v>
      </c>
      <c r="D252" t="s">
        <v>212</v>
      </c>
    </row>
    <row r="253" spans="1:4" x14ac:dyDescent="0.2">
      <c r="A253" t="s">
        <v>696</v>
      </c>
      <c r="B253" t="s">
        <v>695</v>
      </c>
      <c r="C253" t="s">
        <v>250</v>
      </c>
      <c r="D253" t="s">
        <v>87</v>
      </c>
    </row>
    <row r="254" spans="1:4" x14ac:dyDescent="0.2">
      <c r="A254" t="s">
        <v>698</v>
      </c>
      <c r="B254" t="s">
        <v>697</v>
      </c>
      <c r="C254" t="s">
        <v>250</v>
      </c>
      <c r="D254" t="s">
        <v>87</v>
      </c>
    </row>
    <row r="255" spans="1:4" x14ac:dyDescent="0.2">
      <c r="A255" t="s">
        <v>700</v>
      </c>
      <c r="B255" t="s">
        <v>699</v>
      </c>
      <c r="C255" t="s">
        <v>236</v>
      </c>
      <c r="D255" t="s">
        <v>55</v>
      </c>
    </row>
    <row r="256" spans="1:4" x14ac:dyDescent="0.2">
      <c r="A256" t="s">
        <v>702</v>
      </c>
      <c r="B256" t="s">
        <v>701</v>
      </c>
      <c r="C256" t="s">
        <v>236</v>
      </c>
      <c r="D256" t="s">
        <v>52</v>
      </c>
    </row>
    <row r="257" spans="1:4" x14ac:dyDescent="0.2">
      <c r="A257" t="s">
        <v>704</v>
      </c>
      <c r="B257" t="s">
        <v>703</v>
      </c>
      <c r="C257" t="s">
        <v>250</v>
      </c>
      <c r="D257" t="s">
        <v>212</v>
      </c>
    </row>
    <row r="258" spans="1:4" x14ac:dyDescent="0.2">
      <c r="A258" t="s">
        <v>706</v>
      </c>
      <c r="B258" t="s">
        <v>705</v>
      </c>
      <c r="C258" t="s">
        <v>250</v>
      </c>
      <c r="D258" t="s">
        <v>212</v>
      </c>
    </row>
    <row r="259" spans="1:4" x14ac:dyDescent="0.2">
      <c r="A259" t="s">
        <v>708</v>
      </c>
      <c r="B259" t="s">
        <v>707</v>
      </c>
      <c r="C259" t="s">
        <v>250</v>
      </c>
      <c r="D259" t="s">
        <v>212</v>
      </c>
    </row>
    <row r="260" spans="1:4" x14ac:dyDescent="0.2">
      <c r="A260" t="s">
        <v>710</v>
      </c>
      <c r="B260" t="s">
        <v>709</v>
      </c>
      <c r="C260" t="s">
        <v>250</v>
      </c>
      <c r="D260" t="s">
        <v>212</v>
      </c>
    </row>
    <row r="261" spans="1:4" x14ac:dyDescent="0.2">
      <c r="A261" t="s">
        <v>712</v>
      </c>
      <c r="B261" t="s">
        <v>711</v>
      </c>
      <c r="C261" t="s">
        <v>236</v>
      </c>
      <c r="D261" t="s">
        <v>52</v>
      </c>
    </row>
    <row r="262" spans="1:4" x14ac:dyDescent="0.2">
      <c r="A262" t="s">
        <v>714</v>
      </c>
      <c r="B262" t="s">
        <v>713</v>
      </c>
      <c r="C262" t="s">
        <v>250</v>
      </c>
      <c r="D262" t="s">
        <v>87</v>
      </c>
    </row>
    <row r="263" spans="1:4" x14ac:dyDescent="0.2">
      <c r="A263" t="s">
        <v>716</v>
      </c>
      <c r="B263" t="s">
        <v>715</v>
      </c>
      <c r="C263" t="s">
        <v>250</v>
      </c>
      <c r="D263" t="s">
        <v>212</v>
      </c>
    </row>
    <row r="264" spans="1:4" x14ac:dyDescent="0.2">
      <c r="A264" t="s">
        <v>718</v>
      </c>
      <c r="B264" t="s">
        <v>717</v>
      </c>
      <c r="C264" t="s">
        <v>250</v>
      </c>
      <c r="D264" t="s">
        <v>212</v>
      </c>
    </row>
    <row r="265" spans="1:4" x14ac:dyDescent="0.2">
      <c r="A265" t="s">
        <v>720</v>
      </c>
      <c r="B265" t="s">
        <v>719</v>
      </c>
      <c r="C265" t="s">
        <v>250</v>
      </c>
      <c r="D265" t="s">
        <v>212</v>
      </c>
    </row>
    <row r="266" spans="1:4" x14ac:dyDescent="0.2">
      <c r="A266" t="s">
        <v>722</v>
      </c>
      <c r="B266" t="s">
        <v>721</v>
      </c>
      <c r="C266" t="s">
        <v>236</v>
      </c>
      <c r="D266" t="s">
        <v>55</v>
      </c>
    </row>
    <row r="267" spans="1:4" x14ac:dyDescent="0.2">
      <c r="A267" t="s">
        <v>724</v>
      </c>
      <c r="B267" t="s">
        <v>723</v>
      </c>
      <c r="C267" t="s">
        <v>250</v>
      </c>
      <c r="D267" t="s">
        <v>87</v>
      </c>
    </row>
    <row r="268" spans="1:4" x14ac:dyDescent="0.2">
      <c r="A268" t="s">
        <v>726</v>
      </c>
      <c r="B268" t="s">
        <v>725</v>
      </c>
      <c r="C268" t="s">
        <v>236</v>
      </c>
      <c r="D268" t="s">
        <v>55</v>
      </c>
    </row>
    <row r="269" spans="1:4" x14ac:dyDescent="0.2">
      <c r="A269" t="s">
        <v>728</v>
      </c>
      <c r="B269" t="s">
        <v>727</v>
      </c>
      <c r="C269" t="s">
        <v>236</v>
      </c>
      <c r="D269" t="s">
        <v>55</v>
      </c>
    </row>
    <row r="270" spans="1:4" x14ac:dyDescent="0.2">
      <c r="A270" t="s">
        <v>730</v>
      </c>
      <c r="B270" t="s">
        <v>729</v>
      </c>
      <c r="C270" t="s">
        <v>236</v>
      </c>
      <c r="D270" t="s">
        <v>55</v>
      </c>
    </row>
    <row r="271" spans="1:4" x14ac:dyDescent="0.2">
      <c r="A271" t="s">
        <v>732</v>
      </c>
      <c r="B271" t="s">
        <v>731</v>
      </c>
      <c r="C271" t="s">
        <v>236</v>
      </c>
      <c r="D271" t="s">
        <v>52</v>
      </c>
    </row>
    <row r="272" spans="1:4" x14ac:dyDescent="0.2">
      <c r="A272" t="s">
        <v>188</v>
      </c>
      <c r="B272" t="s">
        <v>733</v>
      </c>
      <c r="C272" t="s">
        <v>236</v>
      </c>
      <c r="D272" t="s">
        <v>52</v>
      </c>
    </row>
    <row r="273" spans="1:4" x14ac:dyDescent="0.2">
      <c r="A273" t="s">
        <v>735</v>
      </c>
      <c r="B273" t="s">
        <v>734</v>
      </c>
      <c r="C273" t="s">
        <v>236</v>
      </c>
      <c r="D273" t="s">
        <v>52</v>
      </c>
    </row>
    <row r="274" spans="1:4" x14ac:dyDescent="0.2">
      <c r="A274" t="s">
        <v>737</v>
      </c>
      <c r="B274" t="s">
        <v>736</v>
      </c>
      <c r="C274" t="s">
        <v>250</v>
      </c>
      <c r="D274" t="s">
        <v>87</v>
      </c>
    </row>
    <row r="275" spans="1:4" x14ac:dyDescent="0.2">
      <c r="A275" t="s">
        <v>739</v>
      </c>
      <c r="B275" t="s">
        <v>738</v>
      </c>
      <c r="C275" t="s">
        <v>236</v>
      </c>
      <c r="D275" t="s">
        <v>55</v>
      </c>
    </row>
    <row r="276" spans="1:4" x14ac:dyDescent="0.2">
      <c r="A276" t="s">
        <v>741</v>
      </c>
      <c r="B276" t="s">
        <v>740</v>
      </c>
      <c r="C276" t="s">
        <v>250</v>
      </c>
      <c r="D276" t="s">
        <v>87</v>
      </c>
    </row>
    <row r="277" spans="1:4" x14ac:dyDescent="0.2">
      <c r="A277" t="s">
        <v>743</v>
      </c>
      <c r="B277" t="s">
        <v>742</v>
      </c>
      <c r="C277" t="s">
        <v>250</v>
      </c>
      <c r="D277" t="s">
        <v>87</v>
      </c>
    </row>
    <row r="278" spans="1:4" x14ac:dyDescent="0.2">
      <c r="A278" t="s">
        <v>745</v>
      </c>
      <c r="B278" t="s">
        <v>744</v>
      </c>
      <c r="C278" t="s">
        <v>250</v>
      </c>
      <c r="D278" t="s">
        <v>87</v>
      </c>
    </row>
    <row r="279" spans="1:4" x14ac:dyDescent="0.2">
      <c r="A279" t="s">
        <v>747</v>
      </c>
      <c r="B279" t="s">
        <v>746</v>
      </c>
      <c r="C279" t="s">
        <v>250</v>
      </c>
      <c r="D279" t="s">
        <v>87</v>
      </c>
    </row>
    <row r="280" spans="1:4" x14ac:dyDescent="0.2">
      <c r="A280" t="s">
        <v>749</v>
      </c>
      <c r="B280" t="s">
        <v>748</v>
      </c>
      <c r="C280" t="s">
        <v>250</v>
      </c>
      <c r="D280" t="s">
        <v>87</v>
      </c>
    </row>
    <row r="281" spans="1:4" x14ac:dyDescent="0.2">
      <c r="A281" t="s">
        <v>751</v>
      </c>
      <c r="B281" t="s">
        <v>750</v>
      </c>
      <c r="C281" t="s">
        <v>236</v>
      </c>
      <c r="D281" t="s">
        <v>52</v>
      </c>
    </row>
    <row r="282" spans="1:4" x14ac:dyDescent="0.2">
      <c r="A282" t="s">
        <v>753</v>
      </c>
      <c r="B282" t="s">
        <v>752</v>
      </c>
      <c r="C282" t="s">
        <v>236</v>
      </c>
      <c r="D282" t="s">
        <v>52</v>
      </c>
    </row>
    <row r="283" spans="1:4" x14ac:dyDescent="0.2">
      <c r="A283" t="s">
        <v>755</v>
      </c>
      <c r="B283" t="s">
        <v>754</v>
      </c>
      <c r="C283" t="s">
        <v>236</v>
      </c>
      <c r="D283" t="s">
        <v>52</v>
      </c>
    </row>
    <row r="284" spans="1:4" x14ac:dyDescent="0.2">
      <c r="A284" t="s">
        <v>757</v>
      </c>
      <c r="B284" t="s">
        <v>756</v>
      </c>
      <c r="C284" t="s">
        <v>250</v>
      </c>
      <c r="D284" t="s">
        <v>87</v>
      </c>
    </row>
    <row r="285" spans="1:4" x14ac:dyDescent="0.2">
      <c r="A285" t="s">
        <v>759</v>
      </c>
      <c r="B285" t="s">
        <v>758</v>
      </c>
      <c r="C285" t="s">
        <v>236</v>
      </c>
      <c r="D285" t="s">
        <v>52</v>
      </c>
    </row>
    <row r="286" spans="1:4" x14ac:dyDescent="0.2">
      <c r="A286" t="s">
        <v>761</v>
      </c>
      <c r="B286" t="s">
        <v>760</v>
      </c>
      <c r="C286" t="s">
        <v>250</v>
      </c>
      <c r="D286" t="s">
        <v>87</v>
      </c>
    </row>
    <row r="287" spans="1:4" x14ac:dyDescent="0.2">
      <c r="A287" t="s">
        <v>763</v>
      </c>
      <c r="B287" t="s">
        <v>762</v>
      </c>
      <c r="C287" t="s">
        <v>250</v>
      </c>
      <c r="D287" t="s">
        <v>87</v>
      </c>
    </row>
    <row r="288" spans="1:4" x14ac:dyDescent="0.2">
      <c r="A288" t="s">
        <v>765</v>
      </c>
      <c r="B288" t="s">
        <v>764</v>
      </c>
      <c r="C288" t="s">
        <v>236</v>
      </c>
      <c r="D288" t="s">
        <v>55</v>
      </c>
    </row>
    <row r="289" spans="1:4" x14ac:dyDescent="0.2">
      <c r="A289" t="s">
        <v>767</v>
      </c>
      <c r="B289" t="s">
        <v>766</v>
      </c>
      <c r="C289" t="s">
        <v>250</v>
      </c>
      <c r="D289" t="s">
        <v>214</v>
      </c>
    </row>
    <row r="290" spans="1:4" x14ac:dyDescent="0.2">
      <c r="A290" t="s">
        <v>769</v>
      </c>
      <c r="B290" t="s">
        <v>768</v>
      </c>
      <c r="C290" t="s">
        <v>250</v>
      </c>
      <c r="D290" t="s">
        <v>87</v>
      </c>
    </row>
    <row r="291" spans="1:4" x14ac:dyDescent="0.2">
      <c r="A291" t="s">
        <v>771</v>
      </c>
      <c r="B291" t="s">
        <v>770</v>
      </c>
      <c r="C291" t="s">
        <v>250</v>
      </c>
      <c r="D291" t="s">
        <v>87</v>
      </c>
    </row>
    <row r="292" spans="1:4" x14ac:dyDescent="0.2">
      <c r="A292" t="s">
        <v>773</v>
      </c>
      <c r="B292" t="s">
        <v>772</v>
      </c>
      <c r="C292" t="s">
        <v>236</v>
      </c>
      <c r="D292" t="s">
        <v>55</v>
      </c>
    </row>
    <row r="293" spans="1:4" x14ac:dyDescent="0.2">
      <c r="A293" t="s">
        <v>775</v>
      </c>
      <c r="B293" t="s">
        <v>774</v>
      </c>
      <c r="C293" t="s">
        <v>250</v>
      </c>
      <c r="D293" t="s">
        <v>87</v>
      </c>
    </row>
    <row r="294" spans="1:4" x14ac:dyDescent="0.2">
      <c r="A294" t="s">
        <v>777</v>
      </c>
      <c r="B294" t="s">
        <v>776</v>
      </c>
      <c r="C294" t="s">
        <v>250</v>
      </c>
      <c r="D294" t="s">
        <v>87</v>
      </c>
    </row>
    <row r="295" spans="1:4" x14ac:dyDescent="0.2">
      <c r="A295" t="s">
        <v>779</v>
      </c>
      <c r="B295" t="s">
        <v>778</v>
      </c>
      <c r="C295" t="s">
        <v>250</v>
      </c>
      <c r="D295" t="s">
        <v>87</v>
      </c>
    </row>
    <row r="296" spans="1:4" x14ac:dyDescent="0.2">
      <c r="A296" t="s">
        <v>781</v>
      </c>
      <c r="B296" t="s">
        <v>780</v>
      </c>
      <c r="C296" t="s">
        <v>250</v>
      </c>
      <c r="D296" t="s">
        <v>87</v>
      </c>
    </row>
    <row r="297" spans="1:4" x14ac:dyDescent="0.2">
      <c r="A297" t="s">
        <v>783</v>
      </c>
      <c r="B297" t="s">
        <v>782</v>
      </c>
      <c r="C297" t="s">
        <v>236</v>
      </c>
      <c r="D297" t="s">
        <v>52</v>
      </c>
    </row>
    <row r="298" spans="1:4" x14ac:dyDescent="0.2">
      <c r="A298" t="s">
        <v>785</v>
      </c>
      <c r="B298" t="s">
        <v>784</v>
      </c>
      <c r="C298" t="s">
        <v>250</v>
      </c>
      <c r="D298" t="s">
        <v>87</v>
      </c>
    </row>
    <row r="299" spans="1:4" x14ac:dyDescent="0.2">
      <c r="A299" t="s">
        <v>787</v>
      </c>
      <c r="B299" t="s">
        <v>786</v>
      </c>
      <c r="C299" t="s">
        <v>250</v>
      </c>
      <c r="D299" t="s">
        <v>87</v>
      </c>
    </row>
    <row r="300" spans="1:4" x14ac:dyDescent="0.2">
      <c r="A300" t="s">
        <v>789</v>
      </c>
      <c r="B300" t="s">
        <v>788</v>
      </c>
      <c r="C300" t="s">
        <v>236</v>
      </c>
      <c r="D300" t="s">
        <v>52</v>
      </c>
    </row>
    <row r="301" spans="1:4" x14ac:dyDescent="0.2">
      <c r="A301" t="s">
        <v>791</v>
      </c>
      <c r="B301" t="s">
        <v>790</v>
      </c>
      <c r="C301" t="s">
        <v>250</v>
      </c>
      <c r="D301" t="s">
        <v>214</v>
      </c>
    </row>
    <row r="302" spans="1:4" x14ac:dyDescent="0.2">
      <c r="A302" t="s">
        <v>793</v>
      </c>
      <c r="B302" t="s">
        <v>792</v>
      </c>
      <c r="C302" t="s">
        <v>250</v>
      </c>
      <c r="D302" t="s">
        <v>214</v>
      </c>
    </row>
    <row r="303" spans="1:4" x14ac:dyDescent="0.2">
      <c r="A303" t="s">
        <v>795</v>
      </c>
      <c r="B303" t="s">
        <v>794</v>
      </c>
      <c r="C303" t="s">
        <v>250</v>
      </c>
      <c r="D303" t="s">
        <v>214</v>
      </c>
    </row>
    <row r="304" spans="1:4" x14ac:dyDescent="0.2">
      <c r="A304" t="s">
        <v>797</v>
      </c>
      <c r="B304" t="s">
        <v>796</v>
      </c>
      <c r="C304" t="s">
        <v>250</v>
      </c>
      <c r="D304" t="s">
        <v>87</v>
      </c>
    </row>
    <row r="305" spans="1:4" x14ac:dyDescent="0.2">
      <c r="A305" t="s">
        <v>799</v>
      </c>
      <c r="B305" t="s">
        <v>798</v>
      </c>
      <c r="C305" t="s">
        <v>250</v>
      </c>
      <c r="D305" t="s">
        <v>87</v>
      </c>
    </row>
    <row r="306" spans="1:4" x14ac:dyDescent="0.2">
      <c r="A306" t="s">
        <v>76</v>
      </c>
      <c r="B306" t="s">
        <v>800</v>
      </c>
      <c r="C306" t="s">
        <v>236</v>
      </c>
      <c r="D306" t="s">
        <v>52</v>
      </c>
    </row>
    <row r="307" spans="1:4" x14ac:dyDescent="0.2">
      <c r="A307" t="s">
        <v>802</v>
      </c>
      <c r="B307" t="s">
        <v>801</v>
      </c>
      <c r="C307" t="s">
        <v>250</v>
      </c>
      <c r="D307" t="s">
        <v>87</v>
      </c>
    </row>
    <row r="308" spans="1:4" x14ac:dyDescent="0.2">
      <c r="A308" t="s">
        <v>804</v>
      </c>
      <c r="B308" t="s">
        <v>803</v>
      </c>
      <c r="C308" t="s">
        <v>250</v>
      </c>
      <c r="D308" t="s">
        <v>87</v>
      </c>
    </row>
    <row r="309" spans="1:4" x14ac:dyDescent="0.2">
      <c r="A309" t="s">
        <v>806</v>
      </c>
      <c r="B309" t="s">
        <v>805</v>
      </c>
      <c r="C309" t="s">
        <v>250</v>
      </c>
      <c r="D309" t="s">
        <v>214</v>
      </c>
    </row>
    <row r="310" spans="1:4" x14ac:dyDescent="0.2">
      <c r="A310" t="s">
        <v>808</v>
      </c>
      <c r="B310" t="s">
        <v>807</v>
      </c>
      <c r="C310" t="s">
        <v>250</v>
      </c>
      <c r="D310" t="s">
        <v>214</v>
      </c>
    </row>
    <row r="311" spans="1:4" x14ac:dyDescent="0.2">
      <c r="A311" t="s">
        <v>810</v>
      </c>
      <c r="B311" t="s">
        <v>809</v>
      </c>
      <c r="C311" t="s">
        <v>236</v>
      </c>
      <c r="D311" t="s">
        <v>52</v>
      </c>
    </row>
    <row r="312" spans="1:4" x14ac:dyDescent="0.2">
      <c r="A312" t="s">
        <v>812</v>
      </c>
      <c r="B312" t="s">
        <v>811</v>
      </c>
      <c r="C312" t="s">
        <v>250</v>
      </c>
      <c r="D312" t="s">
        <v>87</v>
      </c>
    </row>
    <row r="313" spans="1:4" x14ac:dyDescent="0.2">
      <c r="A313" t="s">
        <v>814</v>
      </c>
      <c r="B313" t="s">
        <v>813</v>
      </c>
      <c r="C313" t="s">
        <v>250</v>
      </c>
      <c r="D313" t="s">
        <v>87</v>
      </c>
    </row>
    <row r="314" spans="1:4" x14ac:dyDescent="0.2">
      <c r="A314" t="s">
        <v>816</v>
      </c>
      <c r="B314" t="s">
        <v>815</v>
      </c>
      <c r="C314" t="s">
        <v>250</v>
      </c>
      <c r="D314" t="s">
        <v>87</v>
      </c>
    </row>
    <row r="315" spans="1:4" x14ac:dyDescent="0.2">
      <c r="A315" t="s">
        <v>818</v>
      </c>
      <c r="B315" t="s">
        <v>817</v>
      </c>
      <c r="C315" t="s">
        <v>250</v>
      </c>
      <c r="D315" t="s">
        <v>87</v>
      </c>
    </row>
    <row r="316" spans="1:4" x14ac:dyDescent="0.2">
      <c r="A316" t="s">
        <v>820</v>
      </c>
      <c r="B316" t="s">
        <v>819</v>
      </c>
      <c r="C316" t="s">
        <v>250</v>
      </c>
      <c r="D316" t="s">
        <v>87</v>
      </c>
    </row>
    <row r="317" spans="1:4" x14ac:dyDescent="0.2">
      <c r="A317" t="s">
        <v>822</v>
      </c>
      <c r="B317" t="s">
        <v>821</v>
      </c>
      <c r="C317" t="s">
        <v>250</v>
      </c>
      <c r="D317" t="s">
        <v>87</v>
      </c>
    </row>
    <row r="318" spans="1:4" x14ac:dyDescent="0.2">
      <c r="A318" t="s">
        <v>824</v>
      </c>
      <c r="B318" t="s">
        <v>823</v>
      </c>
      <c r="C318" t="s">
        <v>250</v>
      </c>
      <c r="D318" t="s">
        <v>87</v>
      </c>
    </row>
    <row r="319" spans="1:4" x14ac:dyDescent="0.2">
      <c r="A319" t="s">
        <v>826</v>
      </c>
      <c r="B319" t="s">
        <v>825</v>
      </c>
      <c r="C319" t="s">
        <v>250</v>
      </c>
      <c r="D319" t="s">
        <v>87</v>
      </c>
    </row>
    <row r="320" spans="1:4" x14ac:dyDescent="0.2">
      <c r="A320" t="s">
        <v>828</v>
      </c>
      <c r="B320" t="s">
        <v>827</v>
      </c>
      <c r="C320" t="s">
        <v>250</v>
      </c>
      <c r="D320" t="s">
        <v>87</v>
      </c>
    </row>
    <row r="321" spans="1:4" x14ac:dyDescent="0.2">
      <c r="A321" t="s">
        <v>830</v>
      </c>
      <c r="B321" t="s">
        <v>829</v>
      </c>
      <c r="C321" t="s">
        <v>236</v>
      </c>
      <c r="D321" t="s">
        <v>52</v>
      </c>
    </row>
    <row r="322" spans="1:4" x14ac:dyDescent="0.2">
      <c r="A322" t="s">
        <v>832</v>
      </c>
      <c r="B322" t="s">
        <v>831</v>
      </c>
      <c r="C322" t="s">
        <v>250</v>
      </c>
      <c r="D322" t="s">
        <v>87</v>
      </c>
    </row>
    <row r="323" spans="1:4" x14ac:dyDescent="0.2">
      <c r="A323" t="s">
        <v>834</v>
      </c>
      <c r="B323" t="s">
        <v>833</v>
      </c>
      <c r="C323" t="s">
        <v>236</v>
      </c>
      <c r="D323" t="s">
        <v>55</v>
      </c>
    </row>
    <row r="324" spans="1:4" x14ac:dyDescent="0.2">
      <c r="A324" t="s">
        <v>70</v>
      </c>
      <c r="B324">
        <v>8680291</v>
      </c>
      <c r="C324" t="s">
        <v>236</v>
      </c>
      <c r="D324" t="s">
        <v>88</v>
      </c>
    </row>
    <row r="325" spans="1:4" x14ac:dyDescent="0.2">
      <c r="A325" t="s">
        <v>836</v>
      </c>
      <c r="B325" t="s">
        <v>835</v>
      </c>
      <c r="C325" t="s">
        <v>236</v>
      </c>
      <c r="D325" t="s">
        <v>55</v>
      </c>
    </row>
    <row r="326" spans="1:4" x14ac:dyDescent="0.2">
      <c r="A326" t="s">
        <v>381</v>
      </c>
      <c r="B326" t="s">
        <v>837</v>
      </c>
      <c r="C326" t="s">
        <v>236</v>
      </c>
      <c r="D326" t="s">
        <v>55</v>
      </c>
    </row>
    <row r="327" spans="1:4" x14ac:dyDescent="0.2">
      <c r="A327" t="s">
        <v>839</v>
      </c>
      <c r="B327" t="s">
        <v>838</v>
      </c>
      <c r="C327" t="s">
        <v>236</v>
      </c>
      <c r="D327" t="s">
        <v>55</v>
      </c>
    </row>
    <row r="328" spans="1:4" x14ac:dyDescent="0.2">
      <c r="A328" t="s">
        <v>841</v>
      </c>
      <c r="B328" t="s">
        <v>840</v>
      </c>
      <c r="C328" t="s">
        <v>236</v>
      </c>
      <c r="D328" t="s">
        <v>55</v>
      </c>
    </row>
    <row r="329" spans="1:4" x14ac:dyDescent="0.2">
      <c r="A329" t="s">
        <v>843</v>
      </c>
      <c r="B329" t="s">
        <v>842</v>
      </c>
      <c r="C329" t="s">
        <v>236</v>
      </c>
      <c r="D329" t="s">
        <v>55</v>
      </c>
    </row>
    <row r="330" spans="1:4" x14ac:dyDescent="0.2">
      <c r="A330" t="s">
        <v>68</v>
      </c>
      <c r="B330" t="s">
        <v>844</v>
      </c>
      <c r="C330" t="s">
        <v>236</v>
      </c>
      <c r="D330" t="s">
        <v>55</v>
      </c>
    </row>
    <row r="331" spans="1:4" x14ac:dyDescent="0.2">
      <c r="A331" t="s">
        <v>846</v>
      </c>
      <c r="B331" t="s">
        <v>845</v>
      </c>
      <c r="C331" t="s">
        <v>236</v>
      </c>
      <c r="D331" t="s">
        <v>55</v>
      </c>
    </row>
    <row r="332" spans="1:4" x14ac:dyDescent="0.2">
      <c r="A332" t="s">
        <v>848</v>
      </c>
      <c r="B332" t="s">
        <v>847</v>
      </c>
      <c r="C332" t="s">
        <v>236</v>
      </c>
      <c r="D332" t="s">
        <v>55</v>
      </c>
    </row>
    <row r="333" spans="1:4" x14ac:dyDescent="0.2">
      <c r="A333" t="s">
        <v>850</v>
      </c>
      <c r="B333" t="s">
        <v>849</v>
      </c>
      <c r="C333" t="s">
        <v>236</v>
      </c>
      <c r="D333" t="s">
        <v>55</v>
      </c>
    </row>
    <row r="334" spans="1:4" x14ac:dyDescent="0.2">
      <c r="A334" t="s">
        <v>852</v>
      </c>
      <c r="B334" t="s">
        <v>851</v>
      </c>
      <c r="C334" t="s">
        <v>236</v>
      </c>
      <c r="D334" t="s">
        <v>55</v>
      </c>
    </row>
    <row r="335" spans="1:4" x14ac:dyDescent="0.2">
      <c r="A335" t="s">
        <v>854</v>
      </c>
      <c r="B335" t="s">
        <v>853</v>
      </c>
      <c r="C335" t="s">
        <v>236</v>
      </c>
      <c r="D335" t="s">
        <v>55</v>
      </c>
    </row>
    <row r="336" spans="1:4" x14ac:dyDescent="0.2">
      <c r="A336" t="s">
        <v>203</v>
      </c>
      <c r="B336" t="s">
        <v>855</v>
      </c>
      <c r="C336" t="s">
        <v>250</v>
      </c>
      <c r="D336" t="s">
        <v>214</v>
      </c>
    </row>
    <row r="337" spans="1:4" x14ac:dyDescent="0.2">
      <c r="A337" t="s">
        <v>857</v>
      </c>
      <c r="B337" t="s">
        <v>856</v>
      </c>
      <c r="C337" t="s">
        <v>250</v>
      </c>
      <c r="D337" t="s">
        <v>87</v>
      </c>
    </row>
    <row r="338" spans="1:4" x14ac:dyDescent="0.2">
      <c r="A338" t="s">
        <v>256</v>
      </c>
      <c r="B338" t="s">
        <v>858</v>
      </c>
      <c r="C338" t="s">
        <v>250</v>
      </c>
      <c r="D338" t="s">
        <v>87</v>
      </c>
    </row>
    <row r="339" spans="1:4" x14ac:dyDescent="0.2">
      <c r="A339" t="s">
        <v>860</v>
      </c>
      <c r="B339" t="s">
        <v>859</v>
      </c>
      <c r="C339" t="s">
        <v>250</v>
      </c>
      <c r="D339" t="s">
        <v>87</v>
      </c>
    </row>
    <row r="340" spans="1:4" x14ac:dyDescent="0.2">
      <c r="A340" t="s">
        <v>862</v>
      </c>
      <c r="B340" t="s">
        <v>861</v>
      </c>
      <c r="C340" t="s">
        <v>250</v>
      </c>
      <c r="D340" t="s">
        <v>87</v>
      </c>
    </row>
    <row r="341" spans="1:4" x14ac:dyDescent="0.2">
      <c r="A341" t="s">
        <v>864</v>
      </c>
      <c r="B341" t="s">
        <v>863</v>
      </c>
      <c r="C341" t="s">
        <v>236</v>
      </c>
      <c r="D341" t="s">
        <v>55</v>
      </c>
    </row>
    <row r="342" spans="1:4" x14ac:dyDescent="0.2">
      <c r="A342" t="s">
        <v>866</v>
      </c>
      <c r="B342" t="s">
        <v>865</v>
      </c>
      <c r="C342" t="s">
        <v>250</v>
      </c>
      <c r="D342" t="s">
        <v>87</v>
      </c>
    </row>
    <row r="343" spans="1:4" x14ac:dyDescent="0.2">
      <c r="A343" t="s">
        <v>868</v>
      </c>
      <c r="B343" t="s">
        <v>867</v>
      </c>
      <c r="C343" t="s">
        <v>250</v>
      </c>
      <c r="D343" t="s">
        <v>87</v>
      </c>
    </row>
    <row r="344" spans="1:4" x14ac:dyDescent="0.2">
      <c r="A344" t="s">
        <v>870</v>
      </c>
      <c r="B344" t="s">
        <v>869</v>
      </c>
      <c r="C344" t="s">
        <v>250</v>
      </c>
      <c r="D344" t="s">
        <v>87</v>
      </c>
    </row>
    <row r="345" spans="1:4" x14ac:dyDescent="0.2">
      <c r="A345" t="s">
        <v>872</v>
      </c>
      <c r="B345" t="s">
        <v>871</v>
      </c>
      <c r="C345" t="s">
        <v>250</v>
      </c>
      <c r="D345" t="s">
        <v>87</v>
      </c>
    </row>
    <row r="346" spans="1:4" x14ac:dyDescent="0.2">
      <c r="A346" t="s">
        <v>874</v>
      </c>
      <c r="B346" t="s">
        <v>873</v>
      </c>
      <c r="C346" t="s">
        <v>250</v>
      </c>
      <c r="D346" t="s">
        <v>214</v>
      </c>
    </row>
    <row r="347" spans="1:4" x14ac:dyDescent="0.2">
      <c r="A347" t="s">
        <v>876</v>
      </c>
      <c r="B347" t="s">
        <v>875</v>
      </c>
      <c r="C347" t="s">
        <v>250</v>
      </c>
      <c r="D347" t="s">
        <v>87</v>
      </c>
    </row>
    <row r="348" spans="1:4" x14ac:dyDescent="0.2">
      <c r="A348" t="s">
        <v>878</v>
      </c>
      <c r="B348" t="s">
        <v>877</v>
      </c>
      <c r="C348" t="s">
        <v>250</v>
      </c>
      <c r="D348" t="s">
        <v>87</v>
      </c>
    </row>
    <row r="349" spans="1:4" x14ac:dyDescent="0.2">
      <c r="A349" t="s">
        <v>880</v>
      </c>
      <c r="B349" t="s">
        <v>879</v>
      </c>
      <c r="C349" t="s">
        <v>250</v>
      </c>
      <c r="D349" t="s">
        <v>214</v>
      </c>
    </row>
    <row r="350" spans="1:4" x14ac:dyDescent="0.2">
      <c r="A350" t="s">
        <v>882</v>
      </c>
      <c r="B350" t="s">
        <v>881</v>
      </c>
      <c r="C350" t="s">
        <v>250</v>
      </c>
      <c r="D350" t="s">
        <v>87</v>
      </c>
    </row>
    <row r="351" spans="1:4" x14ac:dyDescent="0.2">
      <c r="A351" t="s">
        <v>884</v>
      </c>
      <c r="B351" t="s">
        <v>883</v>
      </c>
      <c r="C351" t="s">
        <v>250</v>
      </c>
      <c r="D351" t="s">
        <v>212</v>
      </c>
    </row>
    <row r="352" spans="1:4" x14ac:dyDescent="0.2">
      <c r="A352" t="s">
        <v>886</v>
      </c>
      <c r="B352" t="s">
        <v>885</v>
      </c>
      <c r="C352" t="s">
        <v>250</v>
      </c>
      <c r="D352" t="s">
        <v>87</v>
      </c>
    </row>
    <row r="353" spans="1:4" x14ac:dyDescent="0.2">
      <c r="A353" t="s">
        <v>888</v>
      </c>
      <c r="B353" t="s">
        <v>887</v>
      </c>
      <c r="C353" t="s">
        <v>250</v>
      </c>
      <c r="D353" t="s">
        <v>87</v>
      </c>
    </row>
    <row r="354" spans="1:4" x14ac:dyDescent="0.2">
      <c r="A354" t="s">
        <v>890</v>
      </c>
      <c r="B354" t="s">
        <v>889</v>
      </c>
      <c r="C354" t="s">
        <v>250</v>
      </c>
      <c r="D354" t="s">
        <v>214</v>
      </c>
    </row>
    <row r="355" spans="1:4" x14ac:dyDescent="0.2">
      <c r="A355" t="s">
        <v>892</v>
      </c>
      <c r="B355" t="s">
        <v>891</v>
      </c>
      <c r="C355" t="s">
        <v>250</v>
      </c>
      <c r="D355" t="s">
        <v>212</v>
      </c>
    </row>
    <row r="356" spans="1:4" x14ac:dyDescent="0.2">
      <c r="A356" t="s">
        <v>894</v>
      </c>
      <c r="B356" t="s">
        <v>893</v>
      </c>
      <c r="C356" t="s">
        <v>250</v>
      </c>
      <c r="D356" t="s">
        <v>212</v>
      </c>
    </row>
    <row r="357" spans="1:4" x14ac:dyDescent="0.2">
      <c r="A357" t="s">
        <v>896</v>
      </c>
      <c r="B357" t="s">
        <v>895</v>
      </c>
      <c r="C357" t="s">
        <v>250</v>
      </c>
      <c r="D357" t="s">
        <v>897</v>
      </c>
    </row>
    <row r="358" spans="1:4" x14ac:dyDescent="0.2">
      <c r="A358" t="s">
        <v>899</v>
      </c>
      <c r="B358" t="s">
        <v>898</v>
      </c>
      <c r="C358" t="s">
        <v>250</v>
      </c>
      <c r="D358" t="s">
        <v>214</v>
      </c>
    </row>
    <row r="359" spans="1:4" x14ac:dyDescent="0.2">
      <c r="A359" t="s">
        <v>901</v>
      </c>
      <c r="B359" t="s">
        <v>900</v>
      </c>
      <c r="C359" t="s">
        <v>236</v>
      </c>
      <c r="D359" t="s">
        <v>52</v>
      </c>
    </row>
    <row r="360" spans="1:4" x14ac:dyDescent="0.2">
      <c r="A360" t="s">
        <v>903</v>
      </c>
      <c r="B360" t="s">
        <v>902</v>
      </c>
      <c r="C360" t="s">
        <v>250</v>
      </c>
      <c r="D360" t="s">
        <v>212</v>
      </c>
    </row>
    <row r="361" spans="1:4" x14ac:dyDescent="0.2">
      <c r="A361" t="s">
        <v>905</v>
      </c>
      <c r="B361" t="s">
        <v>904</v>
      </c>
      <c r="C361" t="s">
        <v>250</v>
      </c>
      <c r="D361" t="s">
        <v>212</v>
      </c>
    </row>
    <row r="362" spans="1:4" x14ac:dyDescent="0.2">
      <c r="A362" t="s">
        <v>907</v>
      </c>
      <c r="B362" t="s">
        <v>906</v>
      </c>
      <c r="C362" t="s">
        <v>250</v>
      </c>
      <c r="D362" t="s">
        <v>212</v>
      </c>
    </row>
    <row r="363" spans="1:4" x14ac:dyDescent="0.2">
      <c r="A363" t="s">
        <v>909</v>
      </c>
      <c r="B363" t="s">
        <v>908</v>
      </c>
      <c r="C363" t="s">
        <v>250</v>
      </c>
      <c r="D363" t="s">
        <v>212</v>
      </c>
    </row>
    <row r="364" spans="1:4" x14ac:dyDescent="0.2">
      <c r="A364" t="s">
        <v>911</v>
      </c>
      <c r="B364" t="s">
        <v>910</v>
      </c>
      <c r="C364" t="s">
        <v>250</v>
      </c>
      <c r="D364" t="s">
        <v>214</v>
      </c>
    </row>
    <row r="365" spans="1:4" x14ac:dyDescent="0.2">
      <c r="A365" t="s">
        <v>913</v>
      </c>
      <c r="B365" t="s">
        <v>912</v>
      </c>
      <c r="C365" t="s">
        <v>250</v>
      </c>
      <c r="D365" t="s">
        <v>214</v>
      </c>
    </row>
    <row r="366" spans="1:4" x14ac:dyDescent="0.2">
      <c r="A366" t="s">
        <v>915</v>
      </c>
      <c r="B366" t="s">
        <v>914</v>
      </c>
      <c r="C366" t="s">
        <v>250</v>
      </c>
      <c r="D366" t="s">
        <v>214</v>
      </c>
    </row>
    <row r="367" spans="1:4" x14ac:dyDescent="0.2">
      <c r="A367" t="s">
        <v>917</v>
      </c>
      <c r="B367" t="s">
        <v>916</v>
      </c>
      <c r="C367" t="s">
        <v>250</v>
      </c>
      <c r="D367" t="s">
        <v>214</v>
      </c>
    </row>
    <row r="368" spans="1:4" x14ac:dyDescent="0.2">
      <c r="A368" t="s">
        <v>919</v>
      </c>
      <c r="B368" t="s">
        <v>918</v>
      </c>
      <c r="C368" t="s">
        <v>250</v>
      </c>
      <c r="D368" t="s">
        <v>212</v>
      </c>
    </row>
    <row r="369" spans="1:4" x14ac:dyDescent="0.2">
      <c r="A369" t="s">
        <v>921</v>
      </c>
      <c r="B369" t="s">
        <v>920</v>
      </c>
      <c r="C369" t="s">
        <v>250</v>
      </c>
      <c r="D369" t="s">
        <v>212</v>
      </c>
    </row>
    <row r="370" spans="1:4" x14ac:dyDescent="0.2">
      <c r="A370" t="s">
        <v>923</v>
      </c>
      <c r="B370" t="s">
        <v>922</v>
      </c>
      <c r="C370" t="s">
        <v>250</v>
      </c>
      <c r="D370" t="s">
        <v>212</v>
      </c>
    </row>
    <row r="371" spans="1:4" x14ac:dyDescent="0.2">
      <c r="A371" t="s">
        <v>925</v>
      </c>
      <c r="B371" t="s">
        <v>924</v>
      </c>
      <c r="C371" t="s">
        <v>250</v>
      </c>
      <c r="D371" t="s">
        <v>212</v>
      </c>
    </row>
    <row r="372" spans="1:4" x14ac:dyDescent="0.2">
      <c r="A372" t="s">
        <v>927</v>
      </c>
      <c r="B372" t="s">
        <v>926</v>
      </c>
      <c r="C372" t="s">
        <v>250</v>
      </c>
      <c r="D372" t="s">
        <v>214</v>
      </c>
    </row>
    <row r="373" spans="1:4" x14ac:dyDescent="0.2">
      <c r="A373" t="s">
        <v>73</v>
      </c>
      <c r="B373" t="s">
        <v>928</v>
      </c>
      <c r="C373" t="s">
        <v>250</v>
      </c>
      <c r="D373" t="s">
        <v>214</v>
      </c>
    </row>
    <row r="374" spans="1:4" x14ac:dyDescent="0.2">
      <c r="A374" t="s">
        <v>930</v>
      </c>
      <c r="B374" t="s">
        <v>929</v>
      </c>
      <c r="C374" t="s">
        <v>250</v>
      </c>
      <c r="D374" t="s">
        <v>212</v>
      </c>
    </row>
    <row r="375" spans="1:4" x14ac:dyDescent="0.2">
      <c r="A375" t="s">
        <v>932</v>
      </c>
      <c r="B375" t="s">
        <v>931</v>
      </c>
      <c r="C375" t="s">
        <v>250</v>
      </c>
      <c r="D375" t="s">
        <v>214</v>
      </c>
    </row>
    <row r="376" spans="1:4" x14ac:dyDescent="0.2">
      <c r="A376" t="s">
        <v>934</v>
      </c>
      <c r="B376" t="s">
        <v>933</v>
      </c>
      <c r="C376" t="s">
        <v>250</v>
      </c>
      <c r="D376" t="s">
        <v>212</v>
      </c>
    </row>
    <row r="377" spans="1:4" x14ac:dyDescent="0.2">
      <c r="A377" t="s">
        <v>936</v>
      </c>
      <c r="B377" t="s">
        <v>935</v>
      </c>
      <c r="C377" t="s">
        <v>250</v>
      </c>
      <c r="D377" t="s">
        <v>212</v>
      </c>
    </row>
    <row r="378" spans="1:4" x14ac:dyDescent="0.2">
      <c r="A378" t="s">
        <v>938</v>
      </c>
      <c r="B378" t="s">
        <v>937</v>
      </c>
      <c r="C378" t="s">
        <v>250</v>
      </c>
      <c r="D378" t="s">
        <v>214</v>
      </c>
    </row>
    <row r="379" spans="1:4" x14ac:dyDescent="0.2">
      <c r="A379" t="s">
        <v>940</v>
      </c>
      <c r="B379" t="s">
        <v>939</v>
      </c>
      <c r="C379" t="s">
        <v>236</v>
      </c>
      <c r="D379" t="s">
        <v>52</v>
      </c>
    </row>
    <row r="380" spans="1:4" x14ac:dyDescent="0.2">
      <c r="A380" t="s">
        <v>942</v>
      </c>
      <c r="B380" t="s">
        <v>941</v>
      </c>
      <c r="C380" t="s">
        <v>250</v>
      </c>
      <c r="D380" t="s">
        <v>212</v>
      </c>
    </row>
    <row r="381" spans="1:4" x14ac:dyDescent="0.2">
      <c r="A381" t="s">
        <v>944</v>
      </c>
      <c r="B381" t="s">
        <v>943</v>
      </c>
      <c r="C381" t="s">
        <v>250</v>
      </c>
      <c r="D381" t="s">
        <v>212</v>
      </c>
    </row>
    <row r="382" spans="1:4" x14ac:dyDescent="0.2">
      <c r="A382" t="s">
        <v>946</v>
      </c>
      <c r="B382" t="s">
        <v>945</v>
      </c>
      <c r="C382" t="s">
        <v>250</v>
      </c>
      <c r="D382" t="s">
        <v>214</v>
      </c>
    </row>
    <row r="383" spans="1:4" x14ac:dyDescent="0.2">
      <c r="A383" t="s">
        <v>948</v>
      </c>
      <c r="B383" t="s">
        <v>947</v>
      </c>
      <c r="C383" t="s">
        <v>250</v>
      </c>
      <c r="D383" t="s">
        <v>214</v>
      </c>
    </row>
    <row r="384" spans="1:4" x14ac:dyDescent="0.2">
      <c r="A384" t="s">
        <v>950</v>
      </c>
      <c r="B384" t="s">
        <v>949</v>
      </c>
      <c r="C384" t="s">
        <v>250</v>
      </c>
      <c r="D384" t="s">
        <v>87</v>
      </c>
    </row>
    <row r="385" spans="1:4" x14ac:dyDescent="0.2">
      <c r="A385" t="s">
        <v>952</v>
      </c>
      <c r="B385" t="s">
        <v>951</v>
      </c>
      <c r="C385" t="s">
        <v>250</v>
      </c>
      <c r="D385" t="s">
        <v>87</v>
      </c>
    </row>
    <row r="386" spans="1:4" x14ac:dyDescent="0.2">
      <c r="A386" t="s">
        <v>954</v>
      </c>
      <c r="B386" t="s">
        <v>953</v>
      </c>
      <c r="C386" t="s">
        <v>236</v>
      </c>
      <c r="D386" t="s">
        <v>52</v>
      </c>
    </row>
    <row r="387" spans="1:4" x14ac:dyDescent="0.2">
      <c r="A387" t="s">
        <v>956</v>
      </c>
      <c r="B387" t="s">
        <v>955</v>
      </c>
      <c r="C387" t="s">
        <v>236</v>
      </c>
      <c r="D387" t="s">
        <v>86</v>
      </c>
    </row>
    <row r="388" spans="1:4" x14ac:dyDescent="0.2">
      <c r="A388" t="s">
        <v>958</v>
      </c>
      <c r="B388" t="s">
        <v>957</v>
      </c>
      <c r="C388" t="s">
        <v>250</v>
      </c>
      <c r="D388" t="s">
        <v>214</v>
      </c>
    </row>
    <row r="389" spans="1:4" x14ac:dyDescent="0.2">
      <c r="A389" t="s">
        <v>960</v>
      </c>
      <c r="B389" t="s">
        <v>959</v>
      </c>
      <c r="C389" t="s">
        <v>250</v>
      </c>
      <c r="D389" t="s">
        <v>212</v>
      </c>
    </row>
    <row r="390" spans="1:4" x14ac:dyDescent="0.2">
      <c r="A390" t="s">
        <v>962</v>
      </c>
      <c r="B390" t="s">
        <v>961</v>
      </c>
      <c r="C390" t="s">
        <v>236</v>
      </c>
      <c r="D390" t="s">
        <v>55</v>
      </c>
    </row>
    <row r="391" spans="1:4" x14ac:dyDescent="0.2">
      <c r="A391" t="s">
        <v>964</v>
      </c>
      <c r="B391" t="s">
        <v>963</v>
      </c>
      <c r="C391" t="s">
        <v>250</v>
      </c>
      <c r="D391" t="s">
        <v>214</v>
      </c>
    </row>
    <row r="392" spans="1:4" x14ac:dyDescent="0.2">
      <c r="A392" t="s">
        <v>966</v>
      </c>
      <c r="B392" t="s">
        <v>965</v>
      </c>
      <c r="C392" t="s">
        <v>250</v>
      </c>
      <c r="D392" t="s">
        <v>212</v>
      </c>
    </row>
    <row r="393" spans="1:4" x14ac:dyDescent="0.2">
      <c r="A393" t="s">
        <v>968</v>
      </c>
      <c r="B393" t="s">
        <v>967</v>
      </c>
      <c r="C393" t="s">
        <v>250</v>
      </c>
      <c r="D393" t="s">
        <v>212</v>
      </c>
    </row>
    <row r="394" spans="1:4" x14ac:dyDescent="0.2">
      <c r="A394" t="s">
        <v>970</v>
      </c>
      <c r="B394" t="s">
        <v>969</v>
      </c>
      <c r="C394" t="s">
        <v>250</v>
      </c>
      <c r="D394" t="s">
        <v>87</v>
      </c>
    </row>
    <row r="395" spans="1:4" x14ac:dyDescent="0.2">
      <c r="A395" t="s">
        <v>972</v>
      </c>
      <c r="B395" t="s">
        <v>971</v>
      </c>
      <c r="C395" t="s">
        <v>250</v>
      </c>
      <c r="D395" t="s">
        <v>212</v>
      </c>
    </row>
    <row r="396" spans="1:4" x14ac:dyDescent="0.2">
      <c r="A396" t="s">
        <v>974</v>
      </c>
      <c r="B396" t="s">
        <v>973</v>
      </c>
      <c r="C396" t="s">
        <v>250</v>
      </c>
      <c r="D396" t="s">
        <v>87</v>
      </c>
    </row>
    <row r="397" spans="1:4" x14ac:dyDescent="0.2">
      <c r="A397" t="s">
        <v>976</v>
      </c>
      <c r="B397" t="s">
        <v>975</v>
      </c>
      <c r="C397" t="s">
        <v>236</v>
      </c>
      <c r="D397" t="s">
        <v>55</v>
      </c>
    </row>
    <row r="398" spans="1:4" x14ac:dyDescent="0.2">
      <c r="A398" t="s">
        <v>978</v>
      </c>
      <c r="B398" t="s">
        <v>977</v>
      </c>
      <c r="C398" t="s">
        <v>250</v>
      </c>
      <c r="D398" t="s">
        <v>212</v>
      </c>
    </row>
    <row r="399" spans="1:4" x14ac:dyDescent="0.2">
      <c r="A399" t="s">
        <v>201</v>
      </c>
      <c r="B399">
        <v>8681396</v>
      </c>
      <c r="C399" t="s">
        <v>250</v>
      </c>
      <c r="D399" t="s">
        <v>214</v>
      </c>
    </row>
    <row r="400" spans="1:4" x14ac:dyDescent="0.2">
      <c r="A400" t="s">
        <v>980</v>
      </c>
      <c r="B400" t="s">
        <v>979</v>
      </c>
      <c r="C400" t="s">
        <v>250</v>
      </c>
      <c r="D400" t="s">
        <v>212</v>
      </c>
    </row>
    <row r="401" spans="1:4" x14ac:dyDescent="0.2">
      <c r="A401" t="s">
        <v>982</v>
      </c>
      <c r="B401" t="s">
        <v>981</v>
      </c>
      <c r="C401" t="s">
        <v>236</v>
      </c>
      <c r="D401" t="s">
        <v>52</v>
      </c>
    </row>
    <row r="402" spans="1:4" x14ac:dyDescent="0.2">
      <c r="A402" t="s">
        <v>984</v>
      </c>
      <c r="B402" t="s">
        <v>983</v>
      </c>
      <c r="C402" t="s">
        <v>236</v>
      </c>
      <c r="D402" t="s">
        <v>52</v>
      </c>
    </row>
    <row r="403" spans="1:4" x14ac:dyDescent="0.2">
      <c r="A403" t="s">
        <v>986</v>
      </c>
      <c r="B403" t="s">
        <v>985</v>
      </c>
      <c r="C403" t="s">
        <v>236</v>
      </c>
      <c r="D403" t="s">
        <v>86</v>
      </c>
    </row>
    <row r="404" spans="1:4" x14ac:dyDescent="0.2">
      <c r="A404" t="s">
        <v>988</v>
      </c>
      <c r="B404" t="s">
        <v>987</v>
      </c>
      <c r="C404" t="s">
        <v>250</v>
      </c>
      <c r="D404" t="s">
        <v>212</v>
      </c>
    </row>
    <row r="405" spans="1:4" x14ac:dyDescent="0.2">
      <c r="A405" t="s">
        <v>990</v>
      </c>
      <c r="B405" t="s">
        <v>989</v>
      </c>
      <c r="C405" t="s">
        <v>236</v>
      </c>
      <c r="D405" t="s">
        <v>55</v>
      </c>
    </row>
    <row r="406" spans="1:4" x14ac:dyDescent="0.2">
      <c r="A406" t="s">
        <v>992</v>
      </c>
      <c r="B406" t="s">
        <v>991</v>
      </c>
      <c r="C406" t="s">
        <v>250</v>
      </c>
      <c r="D406" t="s">
        <v>212</v>
      </c>
    </row>
    <row r="407" spans="1:4" x14ac:dyDescent="0.2">
      <c r="A407" t="s">
        <v>994</v>
      </c>
      <c r="B407" t="s">
        <v>993</v>
      </c>
      <c r="C407" t="s">
        <v>236</v>
      </c>
      <c r="D407" t="s">
        <v>52</v>
      </c>
    </row>
    <row r="408" spans="1:4" x14ac:dyDescent="0.2">
      <c r="A408" t="s">
        <v>996</v>
      </c>
      <c r="B408" t="s">
        <v>995</v>
      </c>
      <c r="C408" t="s">
        <v>236</v>
      </c>
      <c r="D408" t="s">
        <v>55</v>
      </c>
    </row>
    <row r="409" spans="1:4" x14ac:dyDescent="0.2">
      <c r="A409" t="s">
        <v>998</v>
      </c>
      <c r="B409" t="s">
        <v>997</v>
      </c>
      <c r="C409" t="s">
        <v>250</v>
      </c>
      <c r="D409" t="s">
        <v>212</v>
      </c>
    </row>
    <row r="410" spans="1:4" x14ac:dyDescent="0.2">
      <c r="A410" t="s">
        <v>1000</v>
      </c>
      <c r="B410" t="s">
        <v>999</v>
      </c>
      <c r="C410" t="s">
        <v>250</v>
      </c>
      <c r="D410" t="s">
        <v>212</v>
      </c>
    </row>
    <row r="411" spans="1:4" x14ac:dyDescent="0.2">
      <c r="A411" t="s">
        <v>1002</v>
      </c>
      <c r="B411" t="s">
        <v>1001</v>
      </c>
      <c r="C411" t="s">
        <v>250</v>
      </c>
      <c r="D411" t="s">
        <v>212</v>
      </c>
    </row>
    <row r="412" spans="1:4" x14ac:dyDescent="0.2">
      <c r="A412" t="s">
        <v>1004</v>
      </c>
      <c r="B412" t="s">
        <v>1003</v>
      </c>
      <c r="C412" t="s">
        <v>250</v>
      </c>
      <c r="D412" t="s">
        <v>212</v>
      </c>
    </row>
    <row r="413" spans="1:4" x14ac:dyDescent="0.2">
      <c r="A413" t="s">
        <v>1006</v>
      </c>
      <c r="B413" t="s">
        <v>1005</v>
      </c>
      <c r="C413" t="s">
        <v>236</v>
      </c>
      <c r="D413" t="s">
        <v>55</v>
      </c>
    </row>
    <row r="414" spans="1:4" x14ac:dyDescent="0.2">
      <c r="A414" t="s">
        <v>1008</v>
      </c>
      <c r="B414" t="s">
        <v>1007</v>
      </c>
      <c r="C414" t="s">
        <v>236</v>
      </c>
      <c r="D414" t="s">
        <v>86</v>
      </c>
    </row>
    <row r="415" spans="1:4" x14ac:dyDescent="0.2">
      <c r="A415" t="s">
        <v>1010</v>
      </c>
      <c r="B415" t="s">
        <v>1009</v>
      </c>
      <c r="C415" t="s">
        <v>236</v>
      </c>
      <c r="D415" t="s">
        <v>52</v>
      </c>
    </row>
    <row r="416" spans="1:4" x14ac:dyDescent="0.2">
      <c r="A416" t="s">
        <v>1012</v>
      </c>
      <c r="B416" t="s">
        <v>1011</v>
      </c>
      <c r="C416" t="s">
        <v>250</v>
      </c>
      <c r="D416" t="s">
        <v>214</v>
      </c>
    </row>
    <row r="417" spans="1:4" x14ac:dyDescent="0.2">
      <c r="A417" t="s">
        <v>1014</v>
      </c>
      <c r="B417" t="s">
        <v>1013</v>
      </c>
      <c r="C417" t="s">
        <v>250</v>
      </c>
      <c r="D417" t="s">
        <v>87</v>
      </c>
    </row>
    <row r="418" spans="1:4" x14ac:dyDescent="0.2">
      <c r="A418" t="s">
        <v>1016</v>
      </c>
      <c r="B418" t="s">
        <v>1015</v>
      </c>
      <c r="C418" t="s">
        <v>236</v>
      </c>
      <c r="D418" t="s">
        <v>55</v>
      </c>
    </row>
    <row r="419" spans="1:4" x14ac:dyDescent="0.2">
      <c r="A419" t="s">
        <v>1018</v>
      </c>
      <c r="B419" t="s">
        <v>1017</v>
      </c>
      <c r="C419" t="s">
        <v>236</v>
      </c>
      <c r="D419" t="s">
        <v>52</v>
      </c>
    </row>
    <row r="420" spans="1:4" x14ac:dyDescent="0.2">
      <c r="A420" t="s">
        <v>69</v>
      </c>
      <c r="B420" t="s">
        <v>1019</v>
      </c>
      <c r="C420" t="s">
        <v>236</v>
      </c>
      <c r="D420" t="s">
        <v>55</v>
      </c>
    </row>
    <row r="421" spans="1:4" x14ac:dyDescent="0.2">
      <c r="A421" t="s">
        <v>1021</v>
      </c>
      <c r="B421" t="s">
        <v>1020</v>
      </c>
      <c r="C421" t="s">
        <v>250</v>
      </c>
      <c r="D421" t="s">
        <v>87</v>
      </c>
    </row>
    <row r="422" spans="1:4" x14ac:dyDescent="0.2">
      <c r="A422" t="s">
        <v>1023</v>
      </c>
      <c r="B422" t="s">
        <v>1022</v>
      </c>
      <c r="C422" t="s">
        <v>236</v>
      </c>
      <c r="D422" t="s">
        <v>55</v>
      </c>
    </row>
    <row r="423" spans="1:4" x14ac:dyDescent="0.2">
      <c r="A423" t="s">
        <v>1025</v>
      </c>
      <c r="B423" t="s">
        <v>1024</v>
      </c>
      <c r="C423" t="s">
        <v>236</v>
      </c>
      <c r="D423" t="s">
        <v>55</v>
      </c>
    </row>
    <row r="424" spans="1:4" x14ac:dyDescent="0.2">
      <c r="A424" t="s">
        <v>1027</v>
      </c>
      <c r="B424" t="s">
        <v>1026</v>
      </c>
      <c r="C424" t="s">
        <v>236</v>
      </c>
      <c r="D424" t="s">
        <v>55</v>
      </c>
    </row>
    <row r="425" spans="1:4" x14ac:dyDescent="0.2">
      <c r="A425" t="s">
        <v>1029</v>
      </c>
      <c r="B425" t="s">
        <v>1028</v>
      </c>
      <c r="C425" t="s">
        <v>250</v>
      </c>
      <c r="D425" t="s">
        <v>87</v>
      </c>
    </row>
    <row r="426" spans="1:4" x14ac:dyDescent="0.2">
      <c r="A426" t="s">
        <v>1031</v>
      </c>
      <c r="B426" t="s">
        <v>1030</v>
      </c>
      <c r="C426" t="s">
        <v>236</v>
      </c>
      <c r="D426" t="s">
        <v>86</v>
      </c>
    </row>
    <row r="427" spans="1:4" x14ac:dyDescent="0.2">
      <c r="A427" t="s">
        <v>1033</v>
      </c>
      <c r="B427" t="s">
        <v>1032</v>
      </c>
      <c r="C427" t="s">
        <v>250</v>
      </c>
      <c r="D427" t="s">
        <v>87</v>
      </c>
    </row>
    <row r="428" spans="1:4" x14ac:dyDescent="0.2">
      <c r="A428" t="s">
        <v>1035</v>
      </c>
      <c r="B428" t="s">
        <v>1034</v>
      </c>
      <c r="C428" t="s">
        <v>236</v>
      </c>
      <c r="D428" t="s">
        <v>55</v>
      </c>
    </row>
    <row r="429" spans="1:4" x14ac:dyDescent="0.2">
      <c r="A429" t="s">
        <v>1037</v>
      </c>
      <c r="B429" t="s">
        <v>1036</v>
      </c>
      <c r="C429" t="s">
        <v>250</v>
      </c>
      <c r="D429" t="s">
        <v>87</v>
      </c>
    </row>
    <row r="430" spans="1:4" x14ac:dyDescent="0.2">
      <c r="A430" t="s">
        <v>1039</v>
      </c>
      <c r="B430" t="s">
        <v>1038</v>
      </c>
      <c r="C430" t="s">
        <v>250</v>
      </c>
      <c r="D430" t="s">
        <v>87</v>
      </c>
    </row>
    <row r="431" spans="1:4" x14ac:dyDescent="0.2">
      <c r="A431" t="s">
        <v>1041</v>
      </c>
      <c r="B431" t="s">
        <v>1040</v>
      </c>
      <c r="C431" t="s">
        <v>250</v>
      </c>
      <c r="D431" t="s">
        <v>87</v>
      </c>
    </row>
    <row r="432" spans="1:4" x14ac:dyDescent="0.2">
      <c r="A432" t="s">
        <v>1043</v>
      </c>
      <c r="B432" t="s">
        <v>1042</v>
      </c>
      <c r="C432" t="s">
        <v>250</v>
      </c>
      <c r="D432" t="s">
        <v>87</v>
      </c>
    </row>
    <row r="433" spans="1:4" x14ac:dyDescent="0.2">
      <c r="A433" t="s">
        <v>1045</v>
      </c>
      <c r="B433" t="s">
        <v>1044</v>
      </c>
      <c r="C433" t="s">
        <v>250</v>
      </c>
      <c r="D433" t="s">
        <v>87</v>
      </c>
    </row>
    <row r="434" spans="1:4" x14ac:dyDescent="0.2">
      <c r="A434" t="s">
        <v>1047</v>
      </c>
      <c r="B434" t="s">
        <v>1046</v>
      </c>
      <c r="C434" t="s">
        <v>250</v>
      </c>
      <c r="D434" t="s">
        <v>87</v>
      </c>
    </row>
    <row r="435" spans="1:4" x14ac:dyDescent="0.2">
      <c r="A435" t="s">
        <v>1049</v>
      </c>
      <c r="B435" t="s">
        <v>1048</v>
      </c>
      <c r="C435" t="s">
        <v>250</v>
      </c>
      <c r="D435" t="s">
        <v>87</v>
      </c>
    </row>
    <row r="436" spans="1:4" x14ac:dyDescent="0.2">
      <c r="A436" t="s">
        <v>1051</v>
      </c>
      <c r="B436" t="s">
        <v>1050</v>
      </c>
      <c r="C436" t="s">
        <v>250</v>
      </c>
      <c r="D436" t="s">
        <v>212</v>
      </c>
    </row>
    <row r="437" spans="1:4" x14ac:dyDescent="0.2">
      <c r="A437" t="s">
        <v>1053</v>
      </c>
      <c r="B437" t="s">
        <v>1052</v>
      </c>
      <c r="C437" t="s">
        <v>250</v>
      </c>
      <c r="D437" t="s">
        <v>87</v>
      </c>
    </row>
    <row r="438" spans="1:4" x14ac:dyDescent="0.2">
      <c r="A438" t="s">
        <v>1055</v>
      </c>
      <c r="B438" t="s">
        <v>1054</v>
      </c>
      <c r="C438" t="s">
        <v>236</v>
      </c>
      <c r="D438" t="s">
        <v>55</v>
      </c>
    </row>
    <row r="439" spans="1:4" x14ac:dyDescent="0.2">
      <c r="A439" t="s">
        <v>1057</v>
      </c>
      <c r="B439" t="s">
        <v>1056</v>
      </c>
      <c r="C439" t="s">
        <v>250</v>
      </c>
      <c r="D439" t="s">
        <v>212</v>
      </c>
    </row>
    <row r="440" spans="1:4" x14ac:dyDescent="0.2">
      <c r="A440" t="s">
        <v>1059</v>
      </c>
      <c r="B440" t="s">
        <v>1058</v>
      </c>
      <c r="C440" t="s">
        <v>250</v>
      </c>
      <c r="D440" t="s">
        <v>87</v>
      </c>
    </row>
    <row r="441" spans="1:4" x14ac:dyDescent="0.2">
      <c r="A441" t="s">
        <v>1061</v>
      </c>
      <c r="B441" t="s">
        <v>1060</v>
      </c>
      <c r="C441" t="s">
        <v>250</v>
      </c>
      <c r="D441" t="s">
        <v>87</v>
      </c>
    </row>
    <row r="442" spans="1:4" x14ac:dyDescent="0.2">
      <c r="A442" t="s">
        <v>1063</v>
      </c>
      <c r="B442" t="s">
        <v>1062</v>
      </c>
      <c r="C442" t="s">
        <v>250</v>
      </c>
      <c r="D442" t="s">
        <v>87</v>
      </c>
    </row>
    <row r="443" spans="1:4" x14ac:dyDescent="0.2">
      <c r="A443" t="s">
        <v>1065</v>
      </c>
      <c r="B443" t="s">
        <v>1064</v>
      </c>
      <c r="C443" t="s">
        <v>250</v>
      </c>
      <c r="D443" t="s">
        <v>87</v>
      </c>
    </row>
    <row r="444" spans="1:4" x14ac:dyDescent="0.2">
      <c r="A444" t="s">
        <v>1067</v>
      </c>
      <c r="B444" t="s">
        <v>1066</v>
      </c>
      <c r="C444" t="s">
        <v>236</v>
      </c>
      <c r="D444" t="s">
        <v>55</v>
      </c>
    </row>
    <row r="445" spans="1:4" x14ac:dyDescent="0.2">
      <c r="A445" t="s">
        <v>1069</v>
      </c>
      <c r="B445" t="s">
        <v>1068</v>
      </c>
      <c r="C445" t="s">
        <v>236</v>
      </c>
      <c r="D445" t="s">
        <v>55</v>
      </c>
    </row>
    <row r="446" spans="1:4" x14ac:dyDescent="0.2">
      <c r="A446" t="s">
        <v>1071</v>
      </c>
      <c r="B446" t="s">
        <v>1070</v>
      </c>
      <c r="C446" t="s">
        <v>250</v>
      </c>
      <c r="D446" t="s">
        <v>214</v>
      </c>
    </row>
    <row r="447" spans="1:4" x14ac:dyDescent="0.2">
      <c r="A447" t="s">
        <v>1073</v>
      </c>
      <c r="B447" t="s">
        <v>1072</v>
      </c>
      <c r="C447" t="s">
        <v>250</v>
      </c>
      <c r="D447" t="s">
        <v>212</v>
      </c>
    </row>
    <row r="448" spans="1:4" x14ac:dyDescent="0.2">
      <c r="A448" t="s">
        <v>1075</v>
      </c>
      <c r="B448" t="s">
        <v>1074</v>
      </c>
      <c r="C448" t="s">
        <v>250</v>
      </c>
      <c r="D448" t="s">
        <v>212</v>
      </c>
    </row>
    <row r="449" spans="1:4" x14ac:dyDescent="0.2">
      <c r="A449" t="s">
        <v>1077</v>
      </c>
      <c r="B449" t="s">
        <v>1076</v>
      </c>
      <c r="C449" t="s">
        <v>250</v>
      </c>
      <c r="D449" t="s">
        <v>212</v>
      </c>
    </row>
    <row r="450" spans="1:4" x14ac:dyDescent="0.2">
      <c r="A450" t="s">
        <v>1079</v>
      </c>
      <c r="B450" t="s">
        <v>1078</v>
      </c>
      <c r="C450" t="s">
        <v>250</v>
      </c>
      <c r="D450" t="s">
        <v>212</v>
      </c>
    </row>
    <row r="451" spans="1:4" x14ac:dyDescent="0.2">
      <c r="A451" t="s">
        <v>1081</v>
      </c>
      <c r="B451" t="s">
        <v>1080</v>
      </c>
      <c r="C451" t="s">
        <v>250</v>
      </c>
      <c r="D451" t="s">
        <v>212</v>
      </c>
    </row>
    <row r="452" spans="1:4" x14ac:dyDescent="0.2">
      <c r="A452" t="s">
        <v>1083</v>
      </c>
      <c r="B452" t="s">
        <v>1082</v>
      </c>
      <c r="C452" t="s">
        <v>236</v>
      </c>
      <c r="D452" t="s">
        <v>52</v>
      </c>
    </row>
    <row r="453" spans="1:4" x14ac:dyDescent="0.2">
      <c r="A453" t="s">
        <v>1085</v>
      </c>
      <c r="B453" t="s">
        <v>1084</v>
      </c>
      <c r="C453" t="s">
        <v>236</v>
      </c>
      <c r="D453" t="s">
        <v>52</v>
      </c>
    </row>
    <row r="454" spans="1:4" x14ac:dyDescent="0.2">
      <c r="A454" t="s">
        <v>1087</v>
      </c>
      <c r="B454" t="s">
        <v>1086</v>
      </c>
      <c r="C454" t="s">
        <v>236</v>
      </c>
      <c r="D454" t="s">
        <v>55</v>
      </c>
    </row>
    <row r="455" spans="1:4" x14ac:dyDescent="0.2">
      <c r="A455" t="s">
        <v>1089</v>
      </c>
      <c r="B455" t="s">
        <v>1088</v>
      </c>
      <c r="C455" t="s">
        <v>236</v>
      </c>
      <c r="D455" t="s">
        <v>55</v>
      </c>
    </row>
    <row r="456" spans="1:4" x14ac:dyDescent="0.2">
      <c r="A456" t="s">
        <v>1091</v>
      </c>
      <c r="B456" t="s">
        <v>1090</v>
      </c>
      <c r="C456" t="s">
        <v>236</v>
      </c>
      <c r="D456" t="s">
        <v>55</v>
      </c>
    </row>
    <row r="457" spans="1:4" x14ac:dyDescent="0.2">
      <c r="A457" t="s">
        <v>1093</v>
      </c>
      <c r="B457" t="s">
        <v>1092</v>
      </c>
      <c r="C457" t="s">
        <v>236</v>
      </c>
      <c r="D457" t="s">
        <v>55</v>
      </c>
    </row>
    <row r="458" spans="1:4" x14ac:dyDescent="0.2">
      <c r="A458" t="s">
        <v>1095</v>
      </c>
      <c r="B458" t="s">
        <v>1094</v>
      </c>
      <c r="C458" t="s">
        <v>236</v>
      </c>
      <c r="D458" t="s">
        <v>55</v>
      </c>
    </row>
    <row r="459" spans="1:4" x14ac:dyDescent="0.2">
      <c r="A459" t="s">
        <v>1097</v>
      </c>
      <c r="B459" t="s">
        <v>1096</v>
      </c>
      <c r="C459" t="s">
        <v>236</v>
      </c>
      <c r="D459" t="s">
        <v>55</v>
      </c>
    </row>
    <row r="460" spans="1:4" x14ac:dyDescent="0.2">
      <c r="A460" t="s">
        <v>1099</v>
      </c>
      <c r="B460" t="s">
        <v>1098</v>
      </c>
      <c r="C460" t="s">
        <v>236</v>
      </c>
      <c r="D460" t="s">
        <v>55</v>
      </c>
    </row>
    <row r="461" spans="1:4" x14ac:dyDescent="0.2">
      <c r="A461" t="s">
        <v>1101</v>
      </c>
      <c r="B461" t="s">
        <v>1100</v>
      </c>
      <c r="C461" t="s">
        <v>236</v>
      </c>
      <c r="D461" t="s">
        <v>55</v>
      </c>
    </row>
    <row r="462" spans="1:4" x14ac:dyDescent="0.2">
      <c r="A462" t="s">
        <v>1103</v>
      </c>
      <c r="B462" t="s">
        <v>1102</v>
      </c>
      <c r="C462" t="s">
        <v>236</v>
      </c>
      <c r="D462" t="s">
        <v>55</v>
      </c>
    </row>
    <row r="463" spans="1:4" x14ac:dyDescent="0.2">
      <c r="A463" t="s">
        <v>1105</v>
      </c>
      <c r="B463" t="s">
        <v>1104</v>
      </c>
      <c r="C463" t="s">
        <v>236</v>
      </c>
      <c r="D463" t="s">
        <v>55</v>
      </c>
    </row>
    <row r="464" spans="1:4" x14ac:dyDescent="0.2">
      <c r="A464" t="s">
        <v>1107</v>
      </c>
      <c r="B464" t="s">
        <v>1106</v>
      </c>
      <c r="C464" t="s">
        <v>236</v>
      </c>
      <c r="D464" t="s">
        <v>55</v>
      </c>
    </row>
    <row r="465" spans="1:4" x14ac:dyDescent="0.2">
      <c r="A465" t="s">
        <v>1109</v>
      </c>
      <c r="B465" t="s">
        <v>1108</v>
      </c>
      <c r="C465" t="s">
        <v>236</v>
      </c>
      <c r="D465" t="s">
        <v>55</v>
      </c>
    </row>
    <row r="466" spans="1:4" x14ac:dyDescent="0.2">
      <c r="A466" t="s">
        <v>1111</v>
      </c>
      <c r="B466" t="s">
        <v>1110</v>
      </c>
      <c r="C466" t="s">
        <v>236</v>
      </c>
      <c r="D466" t="s">
        <v>55</v>
      </c>
    </row>
    <row r="467" spans="1:4" x14ac:dyDescent="0.2">
      <c r="A467" t="s">
        <v>1113</v>
      </c>
      <c r="B467" t="s">
        <v>1112</v>
      </c>
      <c r="C467" t="s">
        <v>236</v>
      </c>
      <c r="D467" t="s">
        <v>55</v>
      </c>
    </row>
    <row r="468" spans="1:4" x14ac:dyDescent="0.2">
      <c r="A468" t="s">
        <v>1115</v>
      </c>
      <c r="B468" t="s">
        <v>1114</v>
      </c>
      <c r="C468" t="s">
        <v>242</v>
      </c>
      <c r="D468" t="s">
        <v>243</v>
      </c>
    </row>
    <row r="469" spans="1:4" x14ac:dyDescent="0.2">
      <c r="A469" t="s">
        <v>1117</v>
      </c>
      <c r="B469" t="s">
        <v>1116</v>
      </c>
      <c r="C469" t="s">
        <v>250</v>
      </c>
      <c r="D469" t="s">
        <v>212</v>
      </c>
    </row>
    <row r="470" spans="1:4" x14ac:dyDescent="0.2">
      <c r="A470" t="s">
        <v>1119</v>
      </c>
      <c r="B470" t="s">
        <v>1118</v>
      </c>
      <c r="C470" t="s">
        <v>239</v>
      </c>
      <c r="D470" t="s">
        <v>216</v>
      </c>
    </row>
    <row r="471" spans="1:4" x14ac:dyDescent="0.2">
      <c r="A471" t="s">
        <v>1121</v>
      </c>
      <c r="B471" t="s">
        <v>1120</v>
      </c>
      <c r="C471" t="s">
        <v>250</v>
      </c>
      <c r="D471" t="s">
        <v>212</v>
      </c>
    </row>
    <row r="472" spans="1:4" x14ac:dyDescent="0.2">
      <c r="A472" t="s">
        <v>1123</v>
      </c>
      <c r="B472" t="s">
        <v>1122</v>
      </c>
      <c r="C472" t="s">
        <v>250</v>
      </c>
      <c r="D472" t="s">
        <v>212</v>
      </c>
    </row>
    <row r="473" spans="1:4" x14ac:dyDescent="0.2">
      <c r="A473" t="s">
        <v>1125</v>
      </c>
      <c r="B473" t="s">
        <v>1124</v>
      </c>
      <c r="C473" t="s">
        <v>250</v>
      </c>
      <c r="D473" t="s">
        <v>212</v>
      </c>
    </row>
    <row r="474" spans="1:4" x14ac:dyDescent="0.2">
      <c r="A474" t="s">
        <v>1127</v>
      </c>
      <c r="B474" t="s">
        <v>1126</v>
      </c>
      <c r="C474" t="s">
        <v>250</v>
      </c>
      <c r="D474" t="s">
        <v>212</v>
      </c>
    </row>
    <row r="475" spans="1:4" x14ac:dyDescent="0.2">
      <c r="A475" t="s">
        <v>1129</v>
      </c>
      <c r="B475" t="s">
        <v>1128</v>
      </c>
      <c r="C475" t="s">
        <v>250</v>
      </c>
      <c r="D475" t="s">
        <v>212</v>
      </c>
    </row>
    <row r="476" spans="1:4" x14ac:dyDescent="0.2">
      <c r="A476" t="s">
        <v>1131</v>
      </c>
      <c r="B476" t="s">
        <v>1130</v>
      </c>
      <c r="C476" t="s">
        <v>236</v>
      </c>
      <c r="D476" t="s">
        <v>55</v>
      </c>
    </row>
    <row r="477" spans="1:4" x14ac:dyDescent="0.2">
      <c r="A477" t="s">
        <v>1133</v>
      </c>
      <c r="B477" t="s">
        <v>1132</v>
      </c>
      <c r="C477" t="s">
        <v>236</v>
      </c>
      <c r="D477" t="s">
        <v>55</v>
      </c>
    </row>
    <row r="478" spans="1:4" x14ac:dyDescent="0.2">
      <c r="A478" t="s">
        <v>1135</v>
      </c>
      <c r="B478" t="s">
        <v>1134</v>
      </c>
      <c r="C478" t="s">
        <v>236</v>
      </c>
      <c r="D478" t="s">
        <v>55</v>
      </c>
    </row>
    <row r="479" spans="1:4" x14ac:dyDescent="0.2">
      <c r="A479" t="s">
        <v>71</v>
      </c>
      <c r="B479" t="s">
        <v>1136</v>
      </c>
      <c r="C479" t="s">
        <v>236</v>
      </c>
      <c r="D479" t="s">
        <v>88</v>
      </c>
    </row>
    <row r="480" spans="1:4" x14ac:dyDescent="0.2">
      <c r="A480" t="s">
        <v>1138</v>
      </c>
      <c r="B480" t="s">
        <v>1137</v>
      </c>
      <c r="C480" t="s">
        <v>236</v>
      </c>
      <c r="D480" t="s">
        <v>55</v>
      </c>
    </row>
    <row r="481" spans="1:4" x14ac:dyDescent="0.2">
      <c r="A481" t="s">
        <v>1140</v>
      </c>
      <c r="B481" t="s">
        <v>1139</v>
      </c>
      <c r="C481" t="s">
        <v>236</v>
      </c>
      <c r="D481" t="s">
        <v>52</v>
      </c>
    </row>
    <row r="482" spans="1:4" x14ac:dyDescent="0.2">
      <c r="A482" t="s">
        <v>1142</v>
      </c>
      <c r="B482" t="s">
        <v>1141</v>
      </c>
      <c r="C482" t="s">
        <v>236</v>
      </c>
      <c r="D482" t="s">
        <v>55</v>
      </c>
    </row>
    <row r="483" spans="1:4" x14ac:dyDescent="0.2">
      <c r="A483" t="s">
        <v>1144</v>
      </c>
      <c r="B483" t="s">
        <v>1143</v>
      </c>
      <c r="C483" t="s">
        <v>250</v>
      </c>
      <c r="D483" t="s">
        <v>87</v>
      </c>
    </row>
    <row r="484" spans="1:4" x14ac:dyDescent="0.2">
      <c r="A484" t="s">
        <v>1146</v>
      </c>
      <c r="B484" t="s">
        <v>1145</v>
      </c>
      <c r="C484" t="s">
        <v>236</v>
      </c>
      <c r="D484" t="s">
        <v>55</v>
      </c>
    </row>
    <row r="485" spans="1:4" x14ac:dyDescent="0.2">
      <c r="A485" t="s">
        <v>1148</v>
      </c>
      <c r="B485" t="s">
        <v>1147</v>
      </c>
      <c r="C485" t="s">
        <v>250</v>
      </c>
      <c r="D485" t="s">
        <v>87</v>
      </c>
    </row>
    <row r="486" spans="1:4" x14ac:dyDescent="0.2">
      <c r="A486" t="s">
        <v>1150</v>
      </c>
      <c r="B486" t="s">
        <v>1149</v>
      </c>
      <c r="C486" t="s">
        <v>250</v>
      </c>
      <c r="D486" t="s">
        <v>87</v>
      </c>
    </row>
    <row r="487" spans="1:4" x14ac:dyDescent="0.2">
      <c r="A487" t="s">
        <v>1152</v>
      </c>
      <c r="B487" t="s">
        <v>1151</v>
      </c>
      <c r="C487" t="s">
        <v>250</v>
      </c>
      <c r="D487" t="s">
        <v>87</v>
      </c>
    </row>
    <row r="488" spans="1:4" x14ac:dyDescent="0.2">
      <c r="A488" t="s">
        <v>1154</v>
      </c>
      <c r="B488" t="s">
        <v>1153</v>
      </c>
      <c r="C488" t="s">
        <v>250</v>
      </c>
      <c r="D488" t="s">
        <v>87</v>
      </c>
    </row>
    <row r="489" spans="1:4" x14ac:dyDescent="0.2">
      <c r="A489" t="s">
        <v>1156</v>
      </c>
      <c r="B489" t="s">
        <v>1155</v>
      </c>
      <c r="C489" t="s">
        <v>250</v>
      </c>
      <c r="D489" t="s">
        <v>87</v>
      </c>
    </row>
    <row r="490" spans="1:4" x14ac:dyDescent="0.2">
      <c r="A490" t="s">
        <v>1158</v>
      </c>
      <c r="B490" t="s">
        <v>1157</v>
      </c>
      <c r="C490" t="s">
        <v>250</v>
      </c>
      <c r="D490" t="s">
        <v>87</v>
      </c>
    </row>
    <row r="491" spans="1:4" x14ac:dyDescent="0.2">
      <c r="A491" t="s">
        <v>1160</v>
      </c>
      <c r="B491" t="s">
        <v>1159</v>
      </c>
      <c r="C491" t="s">
        <v>236</v>
      </c>
      <c r="D491" t="s">
        <v>52</v>
      </c>
    </row>
    <row r="492" spans="1:4" x14ac:dyDescent="0.2">
      <c r="A492" t="s">
        <v>1162</v>
      </c>
      <c r="B492" t="s">
        <v>1161</v>
      </c>
      <c r="C492" t="s">
        <v>250</v>
      </c>
      <c r="D492" t="s">
        <v>87</v>
      </c>
    </row>
    <row r="493" spans="1:4" x14ac:dyDescent="0.2">
      <c r="A493" t="s">
        <v>1164</v>
      </c>
      <c r="B493" t="s">
        <v>1163</v>
      </c>
      <c r="C493" t="s">
        <v>250</v>
      </c>
      <c r="D493" t="s">
        <v>87</v>
      </c>
    </row>
    <row r="494" spans="1:4" x14ac:dyDescent="0.2">
      <c r="A494" t="s">
        <v>1166</v>
      </c>
      <c r="B494" t="s">
        <v>1165</v>
      </c>
      <c r="C494" t="s">
        <v>250</v>
      </c>
      <c r="D494" t="s">
        <v>87</v>
      </c>
    </row>
    <row r="495" spans="1:4" x14ac:dyDescent="0.2">
      <c r="A495" t="s">
        <v>1168</v>
      </c>
      <c r="B495" t="s">
        <v>1167</v>
      </c>
      <c r="C495" t="s">
        <v>250</v>
      </c>
      <c r="D495" t="s">
        <v>87</v>
      </c>
    </row>
    <row r="496" spans="1:4" x14ac:dyDescent="0.2">
      <c r="A496" t="s">
        <v>1170</v>
      </c>
      <c r="B496" t="s">
        <v>1169</v>
      </c>
      <c r="C496" t="s">
        <v>250</v>
      </c>
      <c r="D496" t="s">
        <v>87</v>
      </c>
    </row>
    <row r="497" spans="1:4" x14ac:dyDescent="0.2">
      <c r="A497" t="s">
        <v>1172</v>
      </c>
      <c r="B497" t="s">
        <v>1171</v>
      </c>
      <c r="C497" t="s">
        <v>236</v>
      </c>
      <c r="D497" t="s">
        <v>52</v>
      </c>
    </row>
    <row r="498" spans="1:4" x14ac:dyDescent="0.2">
      <c r="A498" t="s">
        <v>1174</v>
      </c>
      <c r="B498" t="s">
        <v>1173</v>
      </c>
      <c r="C498" t="s">
        <v>250</v>
      </c>
      <c r="D498" t="s">
        <v>212</v>
      </c>
    </row>
    <row r="499" spans="1:4" x14ac:dyDescent="0.2">
      <c r="A499" t="s">
        <v>1176</v>
      </c>
      <c r="B499" t="s">
        <v>1175</v>
      </c>
      <c r="C499" t="s">
        <v>236</v>
      </c>
      <c r="D499" t="s">
        <v>52</v>
      </c>
    </row>
    <row r="500" spans="1:4" x14ac:dyDescent="0.2">
      <c r="A500" t="s">
        <v>60</v>
      </c>
      <c r="B500" t="s">
        <v>1177</v>
      </c>
      <c r="C500" t="s">
        <v>250</v>
      </c>
      <c r="D500" t="s">
        <v>214</v>
      </c>
    </row>
    <row r="501" spans="1:4" x14ac:dyDescent="0.2">
      <c r="A501" t="s">
        <v>1179</v>
      </c>
      <c r="B501" t="s">
        <v>1178</v>
      </c>
      <c r="C501" t="s">
        <v>250</v>
      </c>
      <c r="D501" t="s">
        <v>87</v>
      </c>
    </row>
    <row r="502" spans="1:4" x14ac:dyDescent="0.2">
      <c r="A502" t="s">
        <v>1181</v>
      </c>
      <c r="B502" t="s">
        <v>1180</v>
      </c>
      <c r="C502" t="s">
        <v>250</v>
      </c>
      <c r="D502" t="s">
        <v>212</v>
      </c>
    </row>
    <row r="503" spans="1:4" x14ac:dyDescent="0.2">
      <c r="A503" t="s">
        <v>1183</v>
      </c>
      <c r="B503" t="s">
        <v>1182</v>
      </c>
      <c r="C503" t="s">
        <v>250</v>
      </c>
      <c r="D503" t="s">
        <v>214</v>
      </c>
    </row>
    <row r="504" spans="1:4" x14ac:dyDescent="0.2">
      <c r="A504" t="s">
        <v>1185</v>
      </c>
      <c r="B504" t="s">
        <v>1184</v>
      </c>
      <c r="C504" t="s">
        <v>250</v>
      </c>
      <c r="D504" t="s">
        <v>212</v>
      </c>
    </row>
    <row r="505" spans="1:4" x14ac:dyDescent="0.2">
      <c r="A505" t="s">
        <v>80</v>
      </c>
      <c r="B505" t="s">
        <v>1186</v>
      </c>
      <c r="C505" t="s">
        <v>236</v>
      </c>
      <c r="D505" t="s">
        <v>52</v>
      </c>
    </row>
    <row r="506" spans="1:4" x14ac:dyDescent="0.2">
      <c r="A506" t="s">
        <v>1188</v>
      </c>
      <c r="B506" t="s">
        <v>1187</v>
      </c>
      <c r="C506" t="s">
        <v>236</v>
      </c>
      <c r="D506" t="s">
        <v>52</v>
      </c>
    </row>
    <row r="507" spans="1:4" x14ac:dyDescent="0.2">
      <c r="A507" t="s">
        <v>1190</v>
      </c>
      <c r="B507" t="s">
        <v>1189</v>
      </c>
      <c r="C507" t="s">
        <v>250</v>
      </c>
      <c r="D507" t="s">
        <v>87</v>
      </c>
    </row>
    <row r="508" spans="1:4" x14ac:dyDescent="0.2">
      <c r="A508" t="s">
        <v>1192</v>
      </c>
      <c r="B508" t="s">
        <v>1191</v>
      </c>
      <c r="C508" t="s">
        <v>250</v>
      </c>
      <c r="D508" t="s">
        <v>87</v>
      </c>
    </row>
    <row r="509" spans="1:4" x14ac:dyDescent="0.2">
      <c r="A509" t="s">
        <v>1194</v>
      </c>
      <c r="B509" t="s">
        <v>1193</v>
      </c>
      <c r="C509" t="s">
        <v>250</v>
      </c>
      <c r="D509" t="s">
        <v>214</v>
      </c>
    </row>
    <row r="510" spans="1:4" x14ac:dyDescent="0.2">
      <c r="A510" t="s">
        <v>1196</v>
      </c>
      <c r="B510" t="s">
        <v>1195</v>
      </c>
      <c r="C510" t="s">
        <v>250</v>
      </c>
      <c r="D510" t="s">
        <v>214</v>
      </c>
    </row>
    <row r="511" spans="1:4" x14ac:dyDescent="0.2">
      <c r="A511" t="s">
        <v>1198</v>
      </c>
      <c r="B511" t="s">
        <v>1197</v>
      </c>
      <c r="C511" t="s">
        <v>250</v>
      </c>
      <c r="D511" t="s">
        <v>87</v>
      </c>
    </row>
    <row r="512" spans="1:4" x14ac:dyDescent="0.2">
      <c r="A512" t="s">
        <v>1200</v>
      </c>
      <c r="B512" t="s">
        <v>1199</v>
      </c>
      <c r="C512" t="s">
        <v>250</v>
      </c>
      <c r="D512" t="s">
        <v>87</v>
      </c>
    </row>
    <row r="513" spans="1:4" x14ac:dyDescent="0.2">
      <c r="A513" t="s">
        <v>1202</v>
      </c>
      <c r="B513" t="s">
        <v>1201</v>
      </c>
      <c r="C513" t="s">
        <v>250</v>
      </c>
      <c r="D513" t="s">
        <v>87</v>
      </c>
    </row>
    <row r="514" spans="1:4" x14ac:dyDescent="0.2">
      <c r="A514" t="s">
        <v>1204</v>
      </c>
      <c r="B514" t="s">
        <v>1203</v>
      </c>
      <c r="C514" t="s">
        <v>236</v>
      </c>
      <c r="D514" t="s">
        <v>55</v>
      </c>
    </row>
    <row r="515" spans="1:4" x14ac:dyDescent="0.2">
      <c r="A515" t="s">
        <v>1206</v>
      </c>
      <c r="B515" t="s">
        <v>1205</v>
      </c>
      <c r="C515" t="s">
        <v>250</v>
      </c>
      <c r="D515" t="s">
        <v>87</v>
      </c>
    </row>
    <row r="516" spans="1:4" x14ac:dyDescent="0.2">
      <c r="A516" t="s">
        <v>1208</v>
      </c>
      <c r="B516" t="s">
        <v>1207</v>
      </c>
      <c r="C516" t="s">
        <v>250</v>
      </c>
      <c r="D516" t="s">
        <v>214</v>
      </c>
    </row>
    <row r="517" spans="1:4" x14ac:dyDescent="0.2">
      <c r="A517" t="s">
        <v>1210</v>
      </c>
      <c r="B517" t="s">
        <v>1209</v>
      </c>
      <c r="C517" t="s">
        <v>250</v>
      </c>
      <c r="D517" t="s">
        <v>212</v>
      </c>
    </row>
    <row r="518" spans="1:4" x14ac:dyDescent="0.2">
      <c r="A518" t="s">
        <v>1212</v>
      </c>
      <c r="B518" t="s">
        <v>1211</v>
      </c>
      <c r="C518" t="s">
        <v>236</v>
      </c>
      <c r="D518" t="s">
        <v>52</v>
      </c>
    </row>
    <row r="519" spans="1:4" x14ac:dyDescent="0.2">
      <c r="A519" t="s">
        <v>1214</v>
      </c>
      <c r="B519" t="s">
        <v>1213</v>
      </c>
      <c r="C519" t="s">
        <v>250</v>
      </c>
      <c r="D519" t="s">
        <v>214</v>
      </c>
    </row>
    <row r="520" spans="1:4" x14ac:dyDescent="0.2">
      <c r="A520" t="s">
        <v>1216</v>
      </c>
      <c r="B520" t="s">
        <v>1215</v>
      </c>
      <c r="C520" t="s">
        <v>250</v>
      </c>
      <c r="D520" t="s">
        <v>214</v>
      </c>
    </row>
    <row r="521" spans="1:4" x14ac:dyDescent="0.2">
      <c r="A521" t="s">
        <v>1218</v>
      </c>
      <c r="B521" t="s">
        <v>1217</v>
      </c>
      <c r="C521" t="s">
        <v>250</v>
      </c>
      <c r="D521" t="s">
        <v>212</v>
      </c>
    </row>
    <row r="522" spans="1:4" x14ac:dyDescent="0.2">
      <c r="A522" t="s">
        <v>1220</v>
      </c>
      <c r="B522" t="s">
        <v>1219</v>
      </c>
      <c r="C522" t="s">
        <v>250</v>
      </c>
      <c r="D522" t="s">
        <v>212</v>
      </c>
    </row>
    <row r="523" spans="1:4" x14ac:dyDescent="0.2">
      <c r="A523" t="s">
        <v>1222</v>
      </c>
      <c r="B523" t="s">
        <v>1221</v>
      </c>
      <c r="C523" t="s">
        <v>250</v>
      </c>
      <c r="D523" t="s">
        <v>212</v>
      </c>
    </row>
    <row r="524" spans="1:4" x14ac:dyDescent="0.2">
      <c r="A524" t="s">
        <v>1224</v>
      </c>
      <c r="B524" t="s">
        <v>1223</v>
      </c>
      <c r="C524" t="s">
        <v>250</v>
      </c>
      <c r="D524" t="s">
        <v>212</v>
      </c>
    </row>
    <row r="525" spans="1:4" x14ac:dyDescent="0.2">
      <c r="A525" t="s">
        <v>1226</v>
      </c>
      <c r="B525" t="s">
        <v>1225</v>
      </c>
      <c r="C525" t="s">
        <v>236</v>
      </c>
      <c r="D525" t="s">
        <v>52</v>
      </c>
    </row>
    <row r="526" spans="1:4" x14ac:dyDescent="0.2">
      <c r="A526" t="s">
        <v>1228</v>
      </c>
      <c r="B526" t="s">
        <v>1227</v>
      </c>
      <c r="C526" t="s">
        <v>250</v>
      </c>
      <c r="D526" t="s">
        <v>214</v>
      </c>
    </row>
    <row r="527" spans="1:4" x14ac:dyDescent="0.2">
      <c r="A527" t="s">
        <v>1230</v>
      </c>
      <c r="B527" t="s">
        <v>1229</v>
      </c>
      <c r="C527" t="s">
        <v>250</v>
      </c>
      <c r="D527" t="s">
        <v>214</v>
      </c>
    </row>
    <row r="528" spans="1:4" x14ac:dyDescent="0.2">
      <c r="A528" t="s">
        <v>1232</v>
      </c>
      <c r="B528" t="s">
        <v>1231</v>
      </c>
      <c r="C528" t="s">
        <v>236</v>
      </c>
      <c r="D528" t="s">
        <v>52</v>
      </c>
    </row>
    <row r="529" spans="1:4" x14ac:dyDescent="0.2">
      <c r="A529" t="s">
        <v>1234</v>
      </c>
      <c r="B529" t="s">
        <v>1233</v>
      </c>
      <c r="C529" t="s">
        <v>250</v>
      </c>
      <c r="D529" t="s">
        <v>214</v>
      </c>
    </row>
    <row r="530" spans="1:4" x14ac:dyDescent="0.2">
      <c r="A530" t="s">
        <v>1236</v>
      </c>
      <c r="B530" t="s">
        <v>1235</v>
      </c>
      <c r="C530" t="s">
        <v>236</v>
      </c>
      <c r="D530" t="s">
        <v>52</v>
      </c>
    </row>
    <row r="531" spans="1:4" x14ac:dyDescent="0.2">
      <c r="A531" t="s">
        <v>1238</v>
      </c>
      <c r="B531" t="s">
        <v>1237</v>
      </c>
      <c r="C531" t="s">
        <v>250</v>
      </c>
      <c r="D531" t="s">
        <v>214</v>
      </c>
    </row>
    <row r="532" spans="1:4" x14ac:dyDescent="0.2">
      <c r="A532" t="s">
        <v>129</v>
      </c>
      <c r="B532" t="s">
        <v>1239</v>
      </c>
      <c r="C532" t="s">
        <v>250</v>
      </c>
      <c r="D532" t="s">
        <v>214</v>
      </c>
    </row>
    <row r="533" spans="1:4" x14ac:dyDescent="0.2">
      <c r="A533" t="s">
        <v>1241</v>
      </c>
      <c r="B533" t="s">
        <v>1240</v>
      </c>
      <c r="C533" t="s">
        <v>236</v>
      </c>
      <c r="D533" t="s">
        <v>52</v>
      </c>
    </row>
    <row r="534" spans="1:4" x14ac:dyDescent="0.2">
      <c r="A534" t="s">
        <v>1243</v>
      </c>
      <c r="B534" t="s">
        <v>1242</v>
      </c>
      <c r="C534" t="s">
        <v>250</v>
      </c>
      <c r="D534" t="s">
        <v>87</v>
      </c>
    </row>
    <row r="535" spans="1:4" x14ac:dyDescent="0.2">
      <c r="A535" t="s">
        <v>1245</v>
      </c>
      <c r="B535" t="s">
        <v>1244</v>
      </c>
      <c r="C535" t="s">
        <v>250</v>
      </c>
      <c r="D535" t="s">
        <v>87</v>
      </c>
    </row>
    <row r="536" spans="1:4" x14ac:dyDescent="0.2">
      <c r="A536" t="s">
        <v>85</v>
      </c>
      <c r="B536" t="s">
        <v>1246</v>
      </c>
      <c r="C536" t="s">
        <v>250</v>
      </c>
      <c r="D536" t="s">
        <v>87</v>
      </c>
    </row>
    <row r="537" spans="1:4" x14ac:dyDescent="0.2">
      <c r="A537" t="s">
        <v>1248</v>
      </c>
      <c r="B537" t="s">
        <v>1247</v>
      </c>
      <c r="C537" t="s">
        <v>250</v>
      </c>
      <c r="D537" t="s">
        <v>87</v>
      </c>
    </row>
    <row r="538" spans="1:4" x14ac:dyDescent="0.2">
      <c r="A538" t="s">
        <v>1250</v>
      </c>
      <c r="B538" t="s">
        <v>1249</v>
      </c>
      <c r="C538" t="s">
        <v>236</v>
      </c>
      <c r="D538" t="s">
        <v>86</v>
      </c>
    </row>
    <row r="539" spans="1:4" x14ac:dyDescent="0.2">
      <c r="A539" t="s">
        <v>1252</v>
      </c>
      <c r="B539" t="s">
        <v>1251</v>
      </c>
      <c r="C539" t="s">
        <v>250</v>
      </c>
      <c r="D539" t="s">
        <v>212</v>
      </c>
    </row>
    <row r="540" spans="1:4" x14ac:dyDescent="0.2">
      <c r="A540" t="s">
        <v>61</v>
      </c>
      <c r="B540" t="s">
        <v>1253</v>
      </c>
      <c r="C540" t="s">
        <v>236</v>
      </c>
      <c r="D540" t="s">
        <v>86</v>
      </c>
    </row>
    <row r="541" spans="1:4" x14ac:dyDescent="0.2">
      <c r="A541" t="s">
        <v>1255</v>
      </c>
      <c r="B541" t="s">
        <v>1254</v>
      </c>
      <c r="C541" t="s">
        <v>239</v>
      </c>
      <c r="D541" t="s">
        <v>216</v>
      </c>
    </row>
    <row r="542" spans="1:4" x14ac:dyDescent="0.2">
      <c r="A542" t="s">
        <v>1257</v>
      </c>
      <c r="B542" t="s">
        <v>1256</v>
      </c>
      <c r="C542" t="s">
        <v>236</v>
      </c>
      <c r="D542" t="s">
        <v>55</v>
      </c>
    </row>
    <row r="543" spans="1:4" x14ac:dyDescent="0.2">
      <c r="A543" t="s">
        <v>1259</v>
      </c>
      <c r="B543" t="s">
        <v>1258</v>
      </c>
      <c r="C543" t="s">
        <v>250</v>
      </c>
      <c r="D543" t="s">
        <v>87</v>
      </c>
    </row>
    <row r="544" spans="1:4" x14ac:dyDescent="0.2">
      <c r="A544" t="s">
        <v>1261</v>
      </c>
      <c r="B544" t="s">
        <v>1260</v>
      </c>
      <c r="C544" t="s">
        <v>250</v>
      </c>
      <c r="D544" t="s">
        <v>87</v>
      </c>
    </row>
    <row r="545" spans="1:4" x14ac:dyDescent="0.2">
      <c r="A545" t="s">
        <v>60</v>
      </c>
      <c r="B545">
        <v>8684029</v>
      </c>
      <c r="C545" t="s">
        <v>236</v>
      </c>
      <c r="D545" t="s">
        <v>86</v>
      </c>
    </row>
    <row r="546" spans="1:4" x14ac:dyDescent="0.2">
      <c r="A546" t="s">
        <v>1263</v>
      </c>
      <c r="B546" t="s">
        <v>1262</v>
      </c>
      <c r="C546" t="s">
        <v>250</v>
      </c>
      <c r="D546" t="s">
        <v>87</v>
      </c>
    </row>
    <row r="547" spans="1:4" x14ac:dyDescent="0.2">
      <c r="A547" t="s">
        <v>1265</v>
      </c>
      <c r="B547" t="s">
        <v>1264</v>
      </c>
      <c r="C547" t="s">
        <v>236</v>
      </c>
      <c r="D547" t="s">
        <v>86</v>
      </c>
    </row>
    <row r="548" spans="1:4" x14ac:dyDescent="0.2">
      <c r="A548" t="s">
        <v>1267</v>
      </c>
      <c r="B548" t="s">
        <v>1266</v>
      </c>
      <c r="C548" t="s">
        <v>236</v>
      </c>
      <c r="D548" t="s">
        <v>55</v>
      </c>
    </row>
    <row r="549" spans="1:4" x14ac:dyDescent="0.2">
      <c r="A549" t="s">
        <v>1269</v>
      </c>
      <c r="B549" t="s">
        <v>1268</v>
      </c>
      <c r="C549" t="s">
        <v>236</v>
      </c>
      <c r="D549" t="s">
        <v>55</v>
      </c>
    </row>
    <row r="550" spans="1:4" x14ac:dyDescent="0.2">
      <c r="A550" t="s">
        <v>1271</v>
      </c>
      <c r="B550" t="s">
        <v>1270</v>
      </c>
      <c r="C550" t="s">
        <v>236</v>
      </c>
      <c r="D550" t="s">
        <v>55</v>
      </c>
    </row>
    <row r="551" spans="1:4" x14ac:dyDescent="0.2">
      <c r="A551" t="s">
        <v>1273</v>
      </c>
      <c r="B551" t="s">
        <v>1272</v>
      </c>
      <c r="C551" t="s">
        <v>236</v>
      </c>
      <c r="D551" t="s">
        <v>55</v>
      </c>
    </row>
    <row r="552" spans="1:4" x14ac:dyDescent="0.2">
      <c r="A552" t="s">
        <v>1275</v>
      </c>
      <c r="B552" t="s">
        <v>1274</v>
      </c>
      <c r="C552" t="s">
        <v>236</v>
      </c>
      <c r="D552" t="s">
        <v>55</v>
      </c>
    </row>
    <row r="553" spans="1:4" x14ac:dyDescent="0.2">
      <c r="A553" t="s">
        <v>1277</v>
      </c>
      <c r="B553" t="s">
        <v>1276</v>
      </c>
      <c r="C553" t="s">
        <v>250</v>
      </c>
      <c r="D553" t="s">
        <v>87</v>
      </c>
    </row>
    <row r="554" spans="1:4" x14ac:dyDescent="0.2">
      <c r="A554" t="s">
        <v>1279</v>
      </c>
      <c r="B554" t="s">
        <v>1278</v>
      </c>
      <c r="C554" t="s">
        <v>236</v>
      </c>
      <c r="D554" t="s">
        <v>52</v>
      </c>
    </row>
    <row r="555" spans="1:4" x14ac:dyDescent="0.2">
      <c r="A555" t="s">
        <v>1281</v>
      </c>
      <c r="B555" t="s">
        <v>1280</v>
      </c>
      <c r="C555" t="s">
        <v>236</v>
      </c>
      <c r="D555" t="s">
        <v>52</v>
      </c>
    </row>
    <row r="556" spans="1:4" x14ac:dyDescent="0.2">
      <c r="A556" t="s">
        <v>1283</v>
      </c>
      <c r="B556" t="s">
        <v>1282</v>
      </c>
      <c r="C556" t="s">
        <v>250</v>
      </c>
      <c r="D556" t="s">
        <v>87</v>
      </c>
    </row>
    <row r="557" spans="1:4" x14ac:dyDescent="0.2">
      <c r="A557" t="s">
        <v>1285</v>
      </c>
      <c r="B557" t="s">
        <v>1284</v>
      </c>
      <c r="C557" t="s">
        <v>250</v>
      </c>
      <c r="D557" t="s">
        <v>214</v>
      </c>
    </row>
    <row r="558" spans="1:4" x14ac:dyDescent="0.2">
      <c r="A558" t="s">
        <v>1287</v>
      </c>
      <c r="B558" t="s">
        <v>1286</v>
      </c>
      <c r="C558" t="s">
        <v>236</v>
      </c>
      <c r="D558" t="s">
        <v>52</v>
      </c>
    </row>
    <row r="559" spans="1:4" x14ac:dyDescent="0.2">
      <c r="A559" t="s">
        <v>1289</v>
      </c>
      <c r="B559" t="s">
        <v>1288</v>
      </c>
      <c r="C559" t="s">
        <v>250</v>
      </c>
      <c r="D559" t="s">
        <v>87</v>
      </c>
    </row>
    <row r="560" spans="1:4" x14ac:dyDescent="0.2">
      <c r="A560" t="s">
        <v>78</v>
      </c>
      <c r="B560" t="s">
        <v>1290</v>
      </c>
      <c r="C560" t="s">
        <v>236</v>
      </c>
      <c r="D560" t="s">
        <v>52</v>
      </c>
    </row>
    <row r="561" spans="1:4" x14ac:dyDescent="0.2">
      <c r="A561" t="s">
        <v>1292</v>
      </c>
      <c r="B561" t="s">
        <v>1291</v>
      </c>
      <c r="C561" t="s">
        <v>250</v>
      </c>
      <c r="D561" t="s">
        <v>87</v>
      </c>
    </row>
    <row r="562" spans="1:4" x14ac:dyDescent="0.2">
      <c r="A562" t="s">
        <v>1294</v>
      </c>
      <c r="B562" t="s">
        <v>1293</v>
      </c>
      <c r="C562" t="s">
        <v>250</v>
      </c>
      <c r="D562" t="s">
        <v>214</v>
      </c>
    </row>
    <row r="563" spans="1:4" x14ac:dyDescent="0.2">
      <c r="A563" t="s">
        <v>1296</v>
      </c>
      <c r="B563" t="s">
        <v>1295</v>
      </c>
      <c r="C563" t="s">
        <v>236</v>
      </c>
      <c r="D563" t="s">
        <v>55</v>
      </c>
    </row>
    <row r="564" spans="1:4" x14ac:dyDescent="0.2">
      <c r="A564" t="s">
        <v>1298</v>
      </c>
      <c r="B564" t="s">
        <v>1297</v>
      </c>
      <c r="C564" t="s">
        <v>250</v>
      </c>
      <c r="D564" t="s">
        <v>87</v>
      </c>
    </row>
    <row r="565" spans="1:4" x14ac:dyDescent="0.2">
      <c r="A565" t="s">
        <v>1300</v>
      </c>
      <c r="B565" t="s">
        <v>1299</v>
      </c>
      <c r="C565" t="s">
        <v>250</v>
      </c>
      <c r="D565" t="s">
        <v>214</v>
      </c>
    </row>
    <row r="566" spans="1:4" x14ac:dyDescent="0.2">
      <c r="A566" t="s">
        <v>1302</v>
      </c>
      <c r="B566" t="s">
        <v>1301</v>
      </c>
      <c r="C566" t="s">
        <v>250</v>
      </c>
      <c r="D566" t="s">
        <v>214</v>
      </c>
    </row>
    <row r="567" spans="1:4" x14ac:dyDescent="0.2">
      <c r="A567" t="s">
        <v>1304</v>
      </c>
      <c r="B567" t="s">
        <v>1303</v>
      </c>
      <c r="C567" t="s">
        <v>250</v>
      </c>
      <c r="D567" t="s">
        <v>214</v>
      </c>
    </row>
    <row r="568" spans="1:4" x14ac:dyDescent="0.2">
      <c r="A568" t="s">
        <v>1306</v>
      </c>
      <c r="B568" t="s">
        <v>1305</v>
      </c>
      <c r="C568" t="s">
        <v>250</v>
      </c>
      <c r="D568" t="s">
        <v>87</v>
      </c>
    </row>
    <row r="569" spans="1:4" x14ac:dyDescent="0.2">
      <c r="A569" t="s">
        <v>1308</v>
      </c>
      <c r="B569" t="s">
        <v>1307</v>
      </c>
      <c r="C569" t="s">
        <v>250</v>
      </c>
      <c r="D569" t="s">
        <v>87</v>
      </c>
    </row>
    <row r="570" spans="1:4" x14ac:dyDescent="0.2">
      <c r="A570" t="s">
        <v>1310</v>
      </c>
      <c r="B570" t="s">
        <v>1309</v>
      </c>
      <c r="C570" t="s">
        <v>250</v>
      </c>
      <c r="D570" t="s">
        <v>87</v>
      </c>
    </row>
    <row r="571" spans="1:4" x14ac:dyDescent="0.2">
      <c r="A571" t="s">
        <v>1312</v>
      </c>
      <c r="B571" t="s">
        <v>1311</v>
      </c>
      <c r="C571" t="s">
        <v>250</v>
      </c>
      <c r="D571" t="s">
        <v>214</v>
      </c>
    </row>
    <row r="572" spans="1:4" x14ac:dyDescent="0.2">
      <c r="A572" t="s">
        <v>1314</v>
      </c>
      <c r="B572" t="s">
        <v>1313</v>
      </c>
      <c r="C572" t="s">
        <v>250</v>
      </c>
      <c r="D572" t="s">
        <v>87</v>
      </c>
    </row>
    <row r="573" spans="1:4" x14ac:dyDescent="0.2">
      <c r="A573" t="s">
        <v>1316</v>
      </c>
      <c r="B573" t="s">
        <v>1315</v>
      </c>
      <c r="C573" t="s">
        <v>250</v>
      </c>
      <c r="D573" t="s">
        <v>87</v>
      </c>
    </row>
    <row r="574" spans="1:4" x14ac:dyDescent="0.2">
      <c r="A574" t="s">
        <v>1318</v>
      </c>
      <c r="B574" t="s">
        <v>1317</v>
      </c>
      <c r="C574" t="s">
        <v>236</v>
      </c>
      <c r="D574" t="s">
        <v>55</v>
      </c>
    </row>
    <row r="575" spans="1:4" x14ac:dyDescent="0.2">
      <c r="A575" t="s">
        <v>1320</v>
      </c>
      <c r="B575" t="s">
        <v>1319</v>
      </c>
      <c r="C575" t="s">
        <v>250</v>
      </c>
      <c r="D575" t="s">
        <v>214</v>
      </c>
    </row>
    <row r="576" spans="1:4" x14ac:dyDescent="0.2">
      <c r="A576" t="s">
        <v>1322</v>
      </c>
      <c r="B576" t="s">
        <v>1321</v>
      </c>
      <c r="C576" t="s">
        <v>250</v>
      </c>
      <c r="D576" t="s">
        <v>87</v>
      </c>
    </row>
    <row r="577" spans="1:4" x14ac:dyDescent="0.2">
      <c r="A577" t="s">
        <v>1324</v>
      </c>
      <c r="B577" t="s">
        <v>1323</v>
      </c>
      <c r="C577" t="s">
        <v>250</v>
      </c>
      <c r="D577" t="s">
        <v>87</v>
      </c>
    </row>
    <row r="578" spans="1:4" x14ac:dyDescent="0.2">
      <c r="A578" t="s">
        <v>1326</v>
      </c>
      <c r="B578" t="s">
        <v>1325</v>
      </c>
      <c r="C578" t="s">
        <v>250</v>
      </c>
      <c r="D578" t="s">
        <v>87</v>
      </c>
    </row>
    <row r="579" spans="1:4" x14ac:dyDescent="0.2">
      <c r="A579" t="s">
        <v>1328</v>
      </c>
      <c r="B579" t="s">
        <v>1327</v>
      </c>
      <c r="C579" t="s">
        <v>250</v>
      </c>
      <c r="D579" t="s">
        <v>87</v>
      </c>
    </row>
    <row r="580" spans="1:4" x14ac:dyDescent="0.2">
      <c r="A580" t="s">
        <v>1330</v>
      </c>
      <c r="B580" t="s">
        <v>1329</v>
      </c>
      <c r="C580" t="s">
        <v>250</v>
      </c>
      <c r="D580" t="s">
        <v>214</v>
      </c>
    </row>
    <row r="581" spans="1:4" x14ac:dyDescent="0.2">
      <c r="A581" t="s">
        <v>1332</v>
      </c>
      <c r="B581" t="s">
        <v>1331</v>
      </c>
      <c r="C581" t="s">
        <v>236</v>
      </c>
      <c r="D581" t="s">
        <v>52</v>
      </c>
    </row>
    <row r="582" spans="1:4" x14ac:dyDescent="0.2">
      <c r="A582" t="s">
        <v>1334</v>
      </c>
      <c r="B582" t="s">
        <v>1333</v>
      </c>
      <c r="C582" t="s">
        <v>250</v>
      </c>
      <c r="D582" t="s">
        <v>87</v>
      </c>
    </row>
    <row r="583" spans="1:4" x14ac:dyDescent="0.2">
      <c r="A583" t="s">
        <v>75</v>
      </c>
      <c r="B583" t="s">
        <v>1335</v>
      </c>
      <c r="C583" t="s">
        <v>236</v>
      </c>
      <c r="D583" t="s">
        <v>55</v>
      </c>
    </row>
    <row r="584" spans="1:4" x14ac:dyDescent="0.2">
      <c r="A584" t="s">
        <v>1337</v>
      </c>
      <c r="B584" t="s">
        <v>1336</v>
      </c>
      <c r="C584" t="s">
        <v>250</v>
      </c>
      <c r="D584" t="s">
        <v>214</v>
      </c>
    </row>
    <row r="585" spans="1:4" x14ac:dyDescent="0.2">
      <c r="A585" t="s">
        <v>1339</v>
      </c>
      <c r="B585" t="s">
        <v>1338</v>
      </c>
      <c r="C585" t="s">
        <v>250</v>
      </c>
      <c r="D585" t="s">
        <v>214</v>
      </c>
    </row>
    <row r="586" spans="1:4" x14ac:dyDescent="0.2">
      <c r="A586" t="s">
        <v>1341</v>
      </c>
      <c r="B586" t="s">
        <v>1340</v>
      </c>
      <c r="C586" t="s">
        <v>250</v>
      </c>
      <c r="D586" t="s">
        <v>87</v>
      </c>
    </row>
    <row r="587" spans="1:4" x14ac:dyDescent="0.2">
      <c r="A587" t="s">
        <v>1343</v>
      </c>
      <c r="B587" t="s">
        <v>1342</v>
      </c>
      <c r="C587" t="s">
        <v>250</v>
      </c>
      <c r="D587" t="s">
        <v>87</v>
      </c>
    </row>
    <row r="588" spans="1:4" x14ac:dyDescent="0.2">
      <c r="A588" t="s">
        <v>1345</v>
      </c>
      <c r="B588" t="s">
        <v>1344</v>
      </c>
      <c r="C588" t="s">
        <v>250</v>
      </c>
      <c r="D588" t="s">
        <v>87</v>
      </c>
    </row>
    <row r="589" spans="1:4" x14ac:dyDescent="0.2">
      <c r="A589" t="s">
        <v>1347</v>
      </c>
      <c r="B589" t="s">
        <v>1346</v>
      </c>
      <c r="C589" t="s">
        <v>236</v>
      </c>
      <c r="D589" t="s">
        <v>52</v>
      </c>
    </row>
    <row r="590" spans="1:4" x14ac:dyDescent="0.2">
      <c r="A590" t="s">
        <v>1349</v>
      </c>
      <c r="B590" t="s">
        <v>1348</v>
      </c>
      <c r="C590" t="s">
        <v>250</v>
      </c>
      <c r="D590" t="s">
        <v>87</v>
      </c>
    </row>
    <row r="591" spans="1:4" x14ac:dyDescent="0.2">
      <c r="A591" t="s">
        <v>1351</v>
      </c>
      <c r="B591" t="s">
        <v>1350</v>
      </c>
      <c r="C591" t="s">
        <v>250</v>
      </c>
      <c r="D591" t="s">
        <v>87</v>
      </c>
    </row>
    <row r="592" spans="1:4" x14ac:dyDescent="0.2">
      <c r="A592" t="s">
        <v>1353</v>
      </c>
      <c r="B592" t="s">
        <v>1352</v>
      </c>
      <c r="C592" t="s">
        <v>250</v>
      </c>
      <c r="D592" t="s">
        <v>87</v>
      </c>
    </row>
    <row r="593" spans="1:4" x14ac:dyDescent="0.2">
      <c r="A593" t="s">
        <v>1355</v>
      </c>
      <c r="B593" t="s">
        <v>1354</v>
      </c>
      <c r="C593" t="s">
        <v>250</v>
      </c>
      <c r="D593" t="s">
        <v>87</v>
      </c>
    </row>
    <row r="594" spans="1:4" x14ac:dyDescent="0.2">
      <c r="A594" t="s">
        <v>1357</v>
      </c>
      <c r="B594" t="s">
        <v>1356</v>
      </c>
      <c r="C594" t="s">
        <v>250</v>
      </c>
      <c r="D594" t="s">
        <v>214</v>
      </c>
    </row>
    <row r="595" spans="1:4" x14ac:dyDescent="0.2">
      <c r="A595" t="s">
        <v>1359</v>
      </c>
      <c r="B595" t="s">
        <v>1358</v>
      </c>
      <c r="C595" t="s">
        <v>236</v>
      </c>
      <c r="D595" t="s">
        <v>55</v>
      </c>
    </row>
    <row r="596" spans="1:4" x14ac:dyDescent="0.2">
      <c r="A596" t="s">
        <v>1361</v>
      </c>
      <c r="B596" t="s">
        <v>1360</v>
      </c>
      <c r="C596" t="s">
        <v>250</v>
      </c>
      <c r="D596" t="s">
        <v>214</v>
      </c>
    </row>
    <row r="597" spans="1:4" x14ac:dyDescent="0.2">
      <c r="A597" t="s">
        <v>1363</v>
      </c>
      <c r="B597" t="s">
        <v>1362</v>
      </c>
      <c r="C597" t="s">
        <v>250</v>
      </c>
      <c r="D597" t="s">
        <v>214</v>
      </c>
    </row>
    <row r="598" spans="1:4" x14ac:dyDescent="0.2">
      <c r="A598" t="s">
        <v>1365</v>
      </c>
      <c r="B598" t="s">
        <v>1364</v>
      </c>
      <c r="C598" t="s">
        <v>250</v>
      </c>
      <c r="D598" t="s">
        <v>212</v>
      </c>
    </row>
    <row r="599" spans="1:4" x14ac:dyDescent="0.2">
      <c r="A599" t="s">
        <v>1367</v>
      </c>
      <c r="B599" t="s">
        <v>1366</v>
      </c>
      <c r="C599" t="s">
        <v>236</v>
      </c>
      <c r="D599" t="s">
        <v>52</v>
      </c>
    </row>
    <row r="600" spans="1:4" x14ac:dyDescent="0.2">
      <c r="A600" t="s">
        <v>1369</v>
      </c>
      <c r="B600" t="s">
        <v>1368</v>
      </c>
      <c r="C600" t="s">
        <v>236</v>
      </c>
      <c r="D600" t="s">
        <v>86</v>
      </c>
    </row>
    <row r="601" spans="1:4" x14ac:dyDescent="0.2">
      <c r="A601" t="s">
        <v>1371</v>
      </c>
      <c r="B601" t="s">
        <v>1370</v>
      </c>
      <c r="C601" t="s">
        <v>236</v>
      </c>
      <c r="D601" t="s">
        <v>52</v>
      </c>
    </row>
    <row r="602" spans="1:4" x14ac:dyDescent="0.2">
      <c r="A602" t="s">
        <v>1373</v>
      </c>
      <c r="B602" t="s">
        <v>1372</v>
      </c>
      <c r="C602" t="s">
        <v>250</v>
      </c>
      <c r="D602" t="s">
        <v>87</v>
      </c>
    </row>
    <row r="603" spans="1:4" x14ac:dyDescent="0.2">
      <c r="A603" t="s">
        <v>1375</v>
      </c>
      <c r="B603" t="s">
        <v>1374</v>
      </c>
      <c r="C603" t="s">
        <v>236</v>
      </c>
      <c r="D603" t="s">
        <v>55</v>
      </c>
    </row>
    <row r="604" spans="1:4" x14ac:dyDescent="0.2">
      <c r="A604" t="s">
        <v>1377</v>
      </c>
      <c r="B604" t="s">
        <v>1376</v>
      </c>
      <c r="C604" t="s">
        <v>250</v>
      </c>
      <c r="D604" t="s">
        <v>214</v>
      </c>
    </row>
    <row r="605" spans="1:4" x14ac:dyDescent="0.2">
      <c r="A605" t="s">
        <v>1379</v>
      </c>
      <c r="B605" t="s">
        <v>1378</v>
      </c>
      <c r="C605" t="s">
        <v>250</v>
      </c>
      <c r="D605" t="s">
        <v>87</v>
      </c>
    </row>
    <row r="606" spans="1:4" x14ac:dyDescent="0.2">
      <c r="A606" t="s">
        <v>1381</v>
      </c>
      <c r="B606" t="s">
        <v>1380</v>
      </c>
      <c r="C606" t="s">
        <v>236</v>
      </c>
      <c r="D606" t="s">
        <v>55</v>
      </c>
    </row>
    <row r="607" spans="1:4" x14ac:dyDescent="0.2">
      <c r="A607" t="s">
        <v>1383</v>
      </c>
      <c r="B607" t="s">
        <v>1382</v>
      </c>
      <c r="C607" t="s">
        <v>250</v>
      </c>
      <c r="D607" t="s">
        <v>87</v>
      </c>
    </row>
    <row r="608" spans="1:4" x14ac:dyDescent="0.2">
      <c r="A608" t="s">
        <v>1385</v>
      </c>
      <c r="B608" t="s">
        <v>1384</v>
      </c>
      <c r="C608" t="s">
        <v>250</v>
      </c>
      <c r="D608" t="s">
        <v>87</v>
      </c>
    </row>
    <row r="609" spans="1:4" x14ac:dyDescent="0.2">
      <c r="A609" t="s">
        <v>1387</v>
      </c>
      <c r="B609" t="s">
        <v>1386</v>
      </c>
      <c r="C609" t="s">
        <v>250</v>
      </c>
      <c r="D609" t="s">
        <v>87</v>
      </c>
    </row>
    <row r="610" spans="1:4" x14ac:dyDescent="0.2">
      <c r="A610" t="s">
        <v>1389</v>
      </c>
      <c r="B610" t="s">
        <v>1388</v>
      </c>
      <c r="C610" t="s">
        <v>250</v>
      </c>
      <c r="D610" t="s">
        <v>214</v>
      </c>
    </row>
    <row r="611" spans="1:4" x14ac:dyDescent="0.2">
      <c r="A611" t="s">
        <v>1391</v>
      </c>
      <c r="B611" t="s">
        <v>1390</v>
      </c>
      <c r="C611" t="s">
        <v>250</v>
      </c>
      <c r="D611" t="s">
        <v>212</v>
      </c>
    </row>
    <row r="612" spans="1:4" x14ac:dyDescent="0.2">
      <c r="A612" t="s">
        <v>1393</v>
      </c>
      <c r="B612" t="s">
        <v>1392</v>
      </c>
      <c r="C612" t="s">
        <v>250</v>
      </c>
      <c r="D612" t="s">
        <v>212</v>
      </c>
    </row>
    <row r="613" spans="1:4" x14ac:dyDescent="0.2">
      <c r="A613" t="s">
        <v>1395</v>
      </c>
      <c r="B613" t="s">
        <v>1394</v>
      </c>
      <c r="C613" t="s">
        <v>250</v>
      </c>
      <c r="D613" t="s">
        <v>212</v>
      </c>
    </row>
    <row r="614" spans="1:4" x14ac:dyDescent="0.2">
      <c r="A614" t="s">
        <v>1397</v>
      </c>
      <c r="B614" t="s">
        <v>1396</v>
      </c>
      <c r="C614" t="s">
        <v>250</v>
      </c>
      <c r="D614" t="s">
        <v>87</v>
      </c>
    </row>
    <row r="615" spans="1:4" x14ac:dyDescent="0.2">
      <c r="A615" t="s">
        <v>1399</v>
      </c>
      <c r="B615" t="s">
        <v>1398</v>
      </c>
      <c r="C615" t="s">
        <v>236</v>
      </c>
      <c r="D615" t="s">
        <v>52</v>
      </c>
    </row>
    <row r="616" spans="1:4" x14ac:dyDescent="0.2">
      <c r="A616" t="s">
        <v>58</v>
      </c>
      <c r="B616" t="s">
        <v>1400</v>
      </c>
      <c r="C616" t="s">
        <v>250</v>
      </c>
      <c r="D616" t="s">
        <v>214</v>
      </c>
    </row>
    <row r="617" spans="1:4" x14ac:dyDescent="0.2">
      <c r="A617" t="s">
        <v>1402</v>
      </c>
      <c r="B617" t="s">
        <v>1401</v>
      </c>
      <c r="C617" t="s">
        <v>250</v>
      </c>
      <c r="D617" t="s">
        <v>87</v>
      </c>
    </row>
    <row r="618" spans="1:4" x14ac:dyDescent="0.2">
      <c r="A618" t="s">
        <v>1404</v>
      </c>
      <c r="B618" t="s">
        <v>1403</v>
      </c>
      <c r="C618" t="s">
        <v>236</v>
      </c>
      <c r="D618" t="s">
        <v>52</v>
      </c>
    </row>
    <row r="619" spans="1:4" x14ac:dyDescent="0.2">
      <c r="A619" t="s">
        <v>1406</v>
      </c>
      <c r="B619" t="s">
        <v>1405</v>
      </c>
      <c r="C619" t="s">
        <v>250</v>
      </c>
      <c r="D619" t="s">
        <v>87</v>
      </c>
    </row>
    <row r="620" spans="1:4" x14ac:dyDescent="0.2">
      <c r="A620" t="s">
        <v>1408</v>
      </c>
      <c r="B620" t="s">
        <v>1407</v>
      </c>
      <c r="C620" t="s">
        <v>250</v>
      </c>
      <c r="D620" t="s">
        <v>87</v>
      </c>
    </row>
    <row r="621" spans="1:4" x14ac:dyDescent="0.2">
      <c r="A621" t="s">
        <v>1410</v>
      </c>
      <c r="B621" t="s">
        <v>1409</v>
      </c>
      <c r="C621" t="s">
        <v>250</v>
      </c>
      <c r="D621" t="s">
        <v>87</v>
      </c>
    </row>
    <row r="622" spans="1:4" x14ac:dyDescent="0.2">
      <c r="A622" t="s">
        <v>1412</v>
      </c>
      <c r="B622" t="s">
        <v>1411</v>
      </c>
      <c r="C622" t="s">
        <v>250</v>
      </c>
      <c r="D622" t="s">
        <v>87</v>
      </c>
    </row>
    <row r="623" spans="1:4" x14ac:dyDescent="0.2">
      <c r="A623" t="s">
        <v>1414</v>
      </c>
      <c r="B623" t="s">
        <v>1413</v>
      </c>
      <c r="C623" t="s">
        <v>236</v>
      </c>
      <c r="D623" t="s">
        <v>52</v>
      </c>
    </row>
    <row r="624" spans="1:4" x14ac:dyDescent="0.2">
      <c r="A624" t="s">
        <v>1416</v>
      </c>
      <c r="B624" t="s">
        <v>1415</v>
      </c>
      <c r="C624" t="s">
        <v>250</v>
      </c>
      <c r="D624" t="s">
        <v>87</v>
      </c>
    </row>
    <row r="625" spans="1:4" x14ac:dyDescent="0.2">
      <c r="A625" t="s">
        <v>1418</v>
      </c>
      <c r="B625" t="s">
        <v>1417</v>
      </c>
      <c r="C625" t="s">
        <v>250</v>
      </c>
      <c r="D625" t="s">
        <v>87</v>
      </c>
    </row>
    <row r="626" spans="1:4" x14ac:dyDescent="0.2">
      <c r="A626" t="s">
        <v>1420</v>
      </c>
      <c r="B626" t="s">
        <v>1419</v>
      </c>
      <c r="C626" t="s">
        <v>250</v>
      </c>
      <c r="D626" t="s">
        <v>87</v>
      </c>
    </row>
    <row r="627" spans="1:4" x14ac:dyDescent="0.2">
      <c r="A627" t="s">
        <v>1422</v>
      </c>
      <c r="B627" t="s">
        <v>1421</v>
      </c>
      <c r="C627" t="s">
        <v>250</v>
      </c>
      <c r="D627" t="s">
        <v>87</v>
      </c>
    </row>
    <row r="628" spans="1:4" x14ac:dyDescent="0.2">
      <c r="A628" t="s">
        <v>998</v>
      </c>
      <c r="B628" t="s">
        <v>1423</v>
      </c>
      <c r="C628" t="s">
        <v>250</v>
      </c>
      <c r="D628" t="s">
        <v>87</v>
      </c>
    </row>
    <row r="629" spans="1:4" x14ac:dyDescent="0.2">
      <c r="A629" t="s">
        <v>1425</v>
      </c>
      <c r="B629" t="s">
        <v>1424</v>
      </c>
      <c r="C629" t="s">
        <v>250</v>
      </c>
      <c r="D629" t="s">
        <v>87</v>
      </c>
    </row>
    <row r="630" spans="1:4" x14ac:dyDescent="0.2">
      <c r="A630" t="s">
        <v>1427</v>
      </c>
      <c r="B630" t="s">
        <v>1426</v>
      </c>
      <c r="C630" t="s">
        <v>250</v>
      </c>
      <c r="D630" t="s">
        <v>1428</v>
      </c>
    </row>
    <row r="631" spans="1:4" x14ac:dyDescent="0.2">
      <c r="A631" t="s">
        <v>1430</v>
      </c>
      <c r="B631" t="s">
        <v>1429</v>
      </c>
      <c r="C631" t="s">
        <v>250</v>
      </c>
      <c r="D631" t="s">
        <v>87</v>
      </c>
    </row>
    <row r="632" spans="1:4" x14ac:dyDescent="0.2">
      <c r="A632" t="s">
        <v>1432</v>
      </c>
      <c r="B632" t="s">
        <v>1431</v>
      </c>
      <c r="C632" t="s">
        <v>250</v>
      </c>
      <c r="D632" t="s">
        <v>87</v>
      </c>
    </row>
    <row r="633" spans="1:4" x14ac:dyDescent="0.2">
      <c r="A633" t="s">
        <v>1434</v>
      </c>
      <c r="B633" t="s">
        <v>1433</v>
      </c>
      <c r="C633" t="s">
        <v>236</v>
      </c>
      <c r="D633" t="s">
        <v>52</v>
      </c>
    </row>
    <row r="634" spans="1:4" x14ac:dyDescent="0.2">
      <c r="A634" t="s">
        <v>1436</v>
      </c>
      <c r="B634" t="s">
        <v>1435</v>
      </c>
      <c r="C634" t="s">
        <v>236</v>
      </c>
      <c r="D634" t="s">
        <v>52</v>
      </c>
    </row>
    <row r="635" spans="1:4" x14ac:dyDescent="0.2">
      <c r="A635" t="s">
        <v>1438</v>
      </c>
      <c r="B635" t="s">
        <v>1437</v>
      </c>
      <c r="C635" t="s">
        <v>236</v>
      </c>
      <c r="D635" t="s">
        <v>86</v>
      </c>
    </row>
    <row r="636" spans="1:4" x14ac:dyDescent="0.2">
      <c r="A636" t="s">
        <v>1440</v>
      </c>
      <c r="B636" t="s">
        <v>1439</v>
      </c>
      <c r="C636" t="s">
        <v>236</v>
      </c>
      <c r="D636" t="s">
        <v>52</v>
      </c>
    </row>
    <row r="637" spans="1:4" x14ac:dyDescent="0.2">
      <c r="A637" t="s">
        <v>1442</v>
      </c>
      <c r="B637" t="s">
        <v>1441</v>
      </c>
      <c r="C637" t="s">
        <v>236</v>
      </c>
      <c r="D637" t="s">
        <v>52</v>
      </c>
    </row>
    <row r="638" spans="1:4" x14ac:dyDescent="0.2">
      <c r="A638" t="s">
        <v>1444</v>
      </c>
      <c r="B638" t="s">
        <v>1443</v>
      </c>
      <c r="C638" t="s">
        <v>250</v>
      </c>
      <c r="D638" t="s">
        <v>214</v>
      </c>
    </row>
    <row r="639" spans="1:4" x14ac:dyDescent="0.2">
      <c r="A639" t="s">
        <v>1446</v>
      </c>
      <c r="B639" t="s">
        <v>1445</v>
      </c>
      <c r="C639" t="s">
        <v>250</v>
      </c>
      <c r="D639" t="s">
        <v>87</v>
      </c>
    </row>
    <row r="640" spans="1:4" x14ac:dyDescent="0.2">
      <c r="A640" t="s">
        <v>1448</v>
      </c>
      <c r="B640" t="s">
        <v>1447</v>
      </c>
      <c r="C640" t="s">
        <v>250</v>
      </c>
      <c r="D640" t="s">
        <v>214</v>
      </c>
    </row>
    <row r="641" spans="1:4" x14ac:dyDescent="0.2">
      <c r="A641" t="s">
        <v>1450</v>
      </c>
      <c r="B641" t="s">
        <v>1449</v>
      </c>
      <c r="C641" t="s">
        <v>250</v>
      </c>
      <c r="D641" t="s">
        <v>214</v>
      </c>
    </row>
    <row r="642" spans="1:4" x14ac:dyDescent="0.2">
      <c r="A642" t="s">
        <v>1452</v>
      </c>
      <c r="B642" t="s">
        <v>1451</v>
      </c>
      <c r="C642" t="s">
        <v>250</v>
      </c>
      <c r="D642" t="s">
        <v>214</v>
      </c>
    </row>
    <row r="643" spans="1:4" x14ac:dyDescent="0.2">
      <c r="A643" t="s">
        <v>1454</v>
      </c>
      <c r="B643" t="s">
        <v>1453</v>
      </c>
      <c r="C643" t="s">
        <v>236</v>
      </c>
      <c r="D643" t="s">
        <v>55</v>
      </c>
    </row>
    <row r="644" spans="1:4" x14ac:dyDescent="0.2">
      <c r="A644" t="s">
        <v>1456</v>
      </c>
      <c r="B644" t="s">
        <v>1455</v>
      </c>
      <c r="C644" t="s">
        <v>250</v>
      </c>
      <c r="D644" t="s">
        <v>87</v>
      </c>
    </row>
    <row r="645" spans="1:4" x14ac:dyDescent="0.2">
      <c r="A645" t="s">
        <v>1458</v>
      </c>
      <c r="B645" t="s">
        <v>1457</v>
      </c>
      <c r="C645" t="s">
        <v>236</v>
      </c>
      <c r="D645" t="s">
        <v>52</v>
      </c>
    </row>
    <row r="646" spans="1:4" x14ac:dyDescent="0.2">
      <c r="A646" t="s">
        <v>1460</v>
      </c>
      <c r="B646" t="s">
        <v>1459</v>
      </c>
      <c r="C646" t="s">
        <v>236</v>
      </c>
      <c r="D646" t="s">
        <v>55</v>
      </c>
    </row>
    <row r="647" spans="1:4" x14ac:dyDescent="0.2">
      <c r="A647" t="s">
        <v>1462</v>
      </c>
      <c r="B647" t="s">
        <v>1461</v>
      </c>
      <c r="C647" t="s">
        <v>250</v>
      </c>
      <c r="D647" t="s">
        <v>87</v>
      </c>
    </row>
    <row r="648" spans="1:4" x14ac:dyDescent="0.2">
      <c r="A648" t="s">
        <v>1464</v>
      </c>
      <c r="B648" t="s">
        <v>1463</v>
      </c>
      <c r="C648" t="s">
        <v>236</v>
      </c>
      <c r="D648" t="s">
        <v>55</v>
      </c>
    </row>
    <row r="649" spans="1:4" x14ac:dyDescent="0.2">
      <c r="A649" t="s">
        <v>1466</v>
      </c>
      <c r="B649" t="s">
        <v>1465</v>
      </c>
      <c r="C649" t="s">
        <v>250</v>
      </c>
      <c r="D649" t="s">
        <v>212</v>
      </c>
    </row>
    <row r="650" spans="1:4" x14ac:dyDescent="0.2">
      <c r="A650" t="s">
        <v>1468</v>
      </c>
      <c r="B650" t="s">
        <v>1467</v>
      </c>
      <c r="C650" t="s">
        <v>236</v>
      </c>
      <c r="D650" t="s">
        <v>55</v>
      </c>
    </row>
    <row r="651" spans="1:4" x14ac:dyDescent="0.2">
      <c r="A651" t="s">
        <v>1470</v>
      </c>
      <c r="B651" t="s">
        <v>1469</v>
      </c>
      <c r="C651" t="s">
        <v>250</v>
      </c>
      <c r="D651" t="s">
        <v>87</v>
      </c>
    </row>
    <row r="652" spans="1:4" x14ac:dyDescent="0.2">
      <c r="A652" t="s">
        <v>1472</v>
      </c>
      <c r="B652" t="s">
        <v>1471</v>
      </c>
      <c r="C652" t="s">
        <v>250</v>
      </c>
      <c r="D652" t="s">
        <v>87</v>
      </c>
    </row>
    <row r="653" spans="1:4" x14ac:dyDescent="0.2">
      <c r="A653" t="s">
        <v>1474</v>
      </c>
      <c r="B653" t="s">
        <v>1473</v>
      </c>
      <c r="C653" t="s">
        <v>250</v>
      </c>
      <c r="D653" t="s">
        <v>87</v>
      </c>
    </row>
    <row r="654" spans="1:4" x14ac:dyDescent="0.2">
      <c r="A654" t="s">
        <v>1476</v>
      </c>
      <c r="B654" t="s">
        <v>1475</v>
      </c>
      <c r="C654" t="s">
        <v>250</v>
      </c>
      <c r="D654" t="s">
        <v>87</v>
      </c>
    </row>
    <row r="655" spans="1:4" x14ac:dyDescent="0.2">
      <c r="A655" t="s">
        <v>1478</v>
      </c>
      <c r="B655" t="s">
        <v>1477</v>
      </c>
      <c r="C655" t="s">
        <v>239</v>
      </c>
      <c r="D655" t="s">
        <v>109</v>
      </c>
    </row>
    <row r="656" spans="1:4" x14ac:dyDescent="0.2">
      <c r="A656" t="s">
        <v>1480</v>
      </c>
      <c r="B656" t="s">
        <v>1479</v>
      </c>
      <c r="C656" t="s">
        <v>250</v>
      </c>
      <c r="D656" t="s">
        <v>212</v>
      </c>
    </row>
    <row r="657" spans="1:4" x14ac:dyDescent="0.2">
      <c r="A657" t="s">
        <v>1482</v>
      </c>
      <c r="B657" t="s">
        <v>1481</v>
      </c>
      <c r="C657" t="s">
        <v>250</v>
      </c>
      <c r="D657" t="s">
        <v>212</v>
      </c>
    </row>
    <row r="658" spans="1:4" x14ac:dyDescent="0.2">
      <c r="A658" t="s">
        <v>1484</v>
      </c>
      <c r="B658" t="s">
        <v>1483</v>
      </c>
      <c r="C658" t="s">
        <v>250</v>
      </c>
      <c r="D658" t="s">
        <v>212</v>
      </c>
    </row>
    <row r="659" spans="1:4" x14ac:dyDescent="0.2">
      <c r="A659" t="s">
        <v>1486</v>
      </c>
      <c r="B659" t="s">
        <v>1485</v>
      </c>
      <c r="C659" t="s">
        <v>236</v>
      </c>
      <c r="D659" t="s">
        <v>55</v>
      </c>
    </row>
    <row r="660" spans="1:4" x14ac:dyDescent="0.2">
      <c r="A660" t="s">
        <v>1488</v>
      </c>
      <c r="B660" t="s">
        <v>1487</v>
      </c>
      <c r="C660" t="s">
        <v>250</v>
      </c>
      <c r="D660" t="s">
        <v>214</v>
      </c>
    </row>
    <row r="661" spans="1:4" x14ac:dyDescent="0.2">
      <c r="A661" t="s">
        <v>1490</v>
      </c>
      <c r="B661" t="s">
        <v>1489</v>
      </c>
      <c r="C661" t="s">
        <v>250</v>
      </c>
      <c r="D661" t="s">
        <v>87</v>
      </c>
    </row>
    <row r="662" spans="1:4" x14ac:dyDescent="0.2">
      <c r="A662" t="s">
        <v>1492</v>
      </c>
      <c r="B662" t="s">
        <v>1491</v>
      </c>
      <c r="C662" t="s">
        <v>250</v>
      </c>
      <c r="D662" t="s">
        <v>212</v>
      </c>
    </row>
    <row r="663" spans="1:4" x14ac:dyDescent="0.2">
      <c r="A663" t="s">
        <v>1494</v>
      </c>
      <c r="B663" t="s">
        <v>1493</v>
      </c>
      <c r="C663" t="s">
        <v>250</v>
      </c>
      <c r="D663" t="s">
        <v>214</v>
      </c>
    </row>
    <row r="664" spans="1:4" x14ac:dyDescent="0.2">
      <c r="A664" t="s">
        <v>1496</v>
      </c>
      <c r="B664" t="s">
        <v>1495</v>
      </c>
      <c r="C664" t="s">
        <v>250</v>
      </c>
      <c r="D664" t="s">
        <v>87</v>
      </c>
    </row>
    <row r="665" spans="1:4" x14ac:dyDescent="0.2">
      <c r="A665" t="s">
        <v>1498</v>
      </c>
      <c r="B665" t="s">
        <v>1497</v>
      </c>
      <c r="C665" t="s">
        <v>250</v>
      </c>
      <c r="D665" t="s">
        <v>87</v>
      </c>
    </row>
    <row r="666" spans="1:4" x14ac:dyDescent="0.2">
      <c r="A666" t="s">
        <v>1500</v>
      </c>
      <c r="B666" t="s">
        <v>1499</v>
      </c>
      <c r="C666" t="s">
        <v>250</v>
      </c>
      <c r="D666" t="s">
        <v>87</v>
      </c>
    </row>
    <row r="667" spans="1:4" x14ac:dyDescent="0.2">
      <c r="A667" t="s">
        <v>1502</v>
      </c>
      <c r="B667" t="s">
        <v>1501</v>
      </c>
      <c r="C667" t="s">
        <v>250</v>
      </c>
      <c r="D667" t="s">
        <v>87</v>
      </c>
    </row>
    <row r="668" spans="1:4" x14ac:dyDescent="0.2">
      <c r="A668" t="s">
        <v>1504</v>
      </c>
      <c r="B668" t="s">
        <v>1503</v>
      </c>
      <c r="C668" t="s">
        <v>236</v>
      </c>
      <c r="D668" t="s">
        <v>55</v>
      </c>
    </row>
    <row r="669" spans="1:4" x14ac:dyDescent="0.2">
      <c r="A669" t="s">
        <v>1506</v>
      </c>
      <c r="B669" t="s">
        <v>1505</v>
      </c>
      <c r="C669" t="s">
        <v>250</v>
      </c>
      <c r="D669" t="s">
        <v>87</v>
      </c>
    </row>
    <row r="670" spans="1:4" x14ac:dyDescent="0.2">
      <c r="A670" t="s">
        <v>1508</v>
      </c>
      <c r="B670" t="s">
        <v>1507</v>
      </c>
      <c r="C670" t="s">
        <v>250</v>
      </c>
      <c r="D670" t="s">
        <v>212</v>
      </c>
    </row>
    <row r="671" spans="1:4" x14ac:dyDescent="0.2">
      <c r="A671" t="s">
        <v>1510</v>
      </c>
      <c r="B671" t="s">
        <v>1509</v>
      </c>
      <c r="C671" t="s">
        <v>250</v>
      </c>
      <c r="D671" t="s">
        <v>87</v>
      </c>
    </row>
    <row r="672" spans="1:4" x14ac:dyDescent="0.2">
      <c r="A672" t="s">
        <v>1512</v>
      </c>
      <c r="B672" t="s">
        <v>1511</v>
      </c>
      <c r="C672" t="s">
        <v>250</v>
      </c>
      <c r="D672" t="s">
        <v>212</v>
      </c>
    </row>
    <row r="673" spans="1:4" x14ac:dyDescent="0.2">
      <c r="A673" t="s">
        <v>1514</v>
      </c>
      <c r="B673" t="s">
        <v>1513</v>
      </c>
      <c r="C673" t="s">
        <v>250</v>
      </c>
      <c r="D673" t="s">
        <v>212</v>
      </c>
    </row>
    <row r="674" spans="1:4" x14ac:dyDescent="0.2">
      <c r="A674" t="s">
        <v>1516</v>
      </c>
      <c r="B674" t="s">
        <v>1515</v>
      </c>
      <c r="C674" t="s">
        <v>250</v>
      </c>
      <c r="D674" t="s">
        <v>214</v>
      </c>
    </row>
    <row r="675" spans="1:4" x14ac:dyDescent="0.2">
      <c r="A675" t="s">
        <v>1518</v>
      </c>
      <c r="B675" t="s">
        <v>1517</v>
      </c>
      <c r="C675" t="s">
        <v>250</v>
      </c>
      <c r="D675" t="s">
        <v>87</v>
      </c>
    </row>
    <row r="676" spans="1:4" x14ac:dyDescent="0.2">
      <c r="A676" t="s">
        <v>1520</v>
      </c>
      <c r="B676" t="s">
        <v>1519</v>
      </c>
      <c r="C676" t="s">
        <v>250</v>
      </c>
      <c r="D676" t="s">
        <v>87</v>
      </c>
    </row>
    <row r="677" spans="1:4" x14ac:dyDescent="0.2">
      <c r="A677" t="s">
        <v>1522</v>
      </c>
      <c r="B677" t="s">
        <v>1521</v>
      </c>
      <c r="C677" t="s">
        <v>250</v>
      </c>
      <c r="D677" t="s">
        <v>87</v>
      </c>
    </row>
    <row r="678" spans="1:4" x14ac:dyDescent="0.2">
      <c r="A678" t="s">
        <v>1524</v>
      </c>
      <c r="B678" t="s">
        <v>1523</v>
      </c>
      <c r="C678" t="s">
        <v>250</v>
      </c>
      <c r="D678" t="s">
        <v>214</v>
      </c>
    </row>
    <row r="679" spans="1:4" x14ac:dyDescent="0.2">
      <c r="A679" t="s">
        <v>1526</v>
      </c>
      <c r="B679" t="s">
        <v>1525</v>
      </c>
      <c r="C679" t="s">
        <v>250</v>
      </c>
      <c r="D679" t="s">
        <v>214</v>
      </c>
    </row>
    <row r="680" spans="1:4" x14ac:dyDescent="0.2">
      <c r="A680" t="s">
        <v>1528</v>
      </c>
      <c r="B680" t="s">
        <v>1527</v>
      </c>
      <c r="C680" t="s">
        <v>250</v>
      </c>
      <c r="D680" t="s">
        <v>87</v>
      </c>
    </row>
    <row r="681" spans="1:4" x14ac:dyDescent="0.2">
      <c r="A681" t="s">
        <v>1530</v>
      </c>
      <c r="B681" t="s">
        <v>1529</v>
      </c>
      <c r="C681" t="s">
        <v>250</v>
      </c>
      <c r="D681" t="s">
        <v>214</v>
      </c>
    </row>
    <row r="682" spans="1:4" x14ac:dyDescent="0.2">
      <c r="A682" t="s">
        <v>1532</v>
      </c>
      <c r="B682" t="s">
        <v>1531</v>
      </c>
      <c r="C682" t="s">
        <v>250</v>
      </c>
      <c r="D682" t="s">
        <v>214</v>
      </c>
    </row>
    <row r="683" spans="1:4" x14ac:dyDescent="0.2">
      <c r="A683" t="s">
        <v>1534</v>
      </c>
      <c r="B683" t="s">
        <v>1533</v>
      </c>
      <c r="C683" t="s">
        <v>250</v>
      </c>
      <c r="D683" t="s">
        <v>214</v>
      </c>
    </row>
    <row r="684" spans="1:4" x14ac:dyDescent="0.2">
      <c r="A684" t="s">
        <v>1536</v>
      </c>
      <c r="B684" t="s">
        <v>1535</v>
      </c>
      <c r="C684" t="s">
        <v>250</v>
      </c>
      <c r="D684" t="s">
        <v>214</v>
      </c>
    </row>
    <row r="685" spans="1:4" x14ac:dyDescent="0.2">
      <c r="A685" t="s">
        <v>1538</v>
      </c>
      <c r="B685" t="s">
        <v>1537</v>
      </c>
      <c r="C685" t="s">
        <v>236</v>
      </c>
      <c r="D685" t="s">
        <v>55</v>
      </c>
    </row>
    <row r="686" spans="1:4" x14ac:dyDescent="0.2">
      <c r="A686" t="s">
        <v>1540</v>
      </c>
      <c r="B686" t="s">
        <v>1539</v>
      </c>
      <c r="C686" t="s">
        <v>250</v>
      </c>
      <c r="D686" t="s">
        <v>214</v>
      </c>
    </row>
    <row r="687" spans="1:4" x14ac:dyDescent="0.2">
      <c r="A687" t="s">
        <v>1542</v>
      </c>
      <c r="B687" t="s">
        <v>1541</v>
      </c>
      <c r="C687" t="s">
        <v>250</v>
      </c>
      <c r="D687" t="s">
        <v>214</v>
      </c>
    </row>
    <row r="688" spans="1:4" x14ac:dyDescent="0.2">
      <c r="A688" t="s">
        <v>1544</v>
      </c>
      <c r="B688" t="s">
        <v>1543</v>
      </c>
      <c r="C688" t="s">
        <v>250</v>
      </c>
      <c r="D688" t="s">
        <v>214</v>
      </c>
    </row>
    <row r="689" spans="1:4" x14ac:dyDescent="0.2">
      <c r="A689" t="s">
        <v>1408</v>
      </c>
      <c r="B689" t="s">
        <v>1545</v>
      </c>
      <c r="C689" t="s">
        <v>250</v>
      </c>
      <c r="D689" t="s">
        <v>212</v>
      </c>
    </row>
    <row r="690" spans="1:4" x14ac:dyDescent="0.2">
      <c r="A690" t="s">
        <v>1547</v>
      </c>
      <c r="B690" t="s">
        <v>1546</v>
      </c>
      <c r="C690" t="s">
        <v>250</v>
      </c>
      <c r="D690" t="s">
        <v>214</v>
      </c>
    </row>
    <row r="691" spans="1:4" x14ac:dyDescent="0.2">
      <c r="A691" t="s">
        <v>1549</v>
      </c>
      <c r="B691" t="s">
        <v>1548</v>
      </c>
      <c r="C691" t="s">
        <v>250</v>
      </c>
      <c r="D691" t="s">
        <v>214</v>
      </c>
    </row>
    <row r="692" spans="1:4" x14ac:dyDescent="0.2">
      <c r="A692" t="s">
        <v>1551</v>
      </c>
      <c r="B692" t="s">
        <v>1550</v>
      </c>
      <c r="C692" t="s">
        <v>250</v>
      </c>
      <c r="D692" t="s">
        <v>214</v>
      </c>
    </row>
    <row r="693" spans="1:4" x14ac:dyDescent="0.2">
      <c r="A693" t="s">
        <v>1553</v>
      </c>
      <c r="B693" t="s">
        <v>1552</v>
      </c>
      <c r="C693" t="s">
        <v>250</v>
      </c>
      <c r="D693" t="s">
        <v>214</v>
      </c>
    </row>
    <row r="694" spans="1:4" x14ac:dyDescent="0.2">
      <c r="A694" t="s">
        <v>1555</v>
      </c>
      <c r="B694" t="s">
        <v>1554</v>
      </c>
      <c r="C694" t="s">
        <v>250</v>
      </c>
      <c r="D694" t="s">
        <v>212</v>
      </c>
    </row>
    <row r="695" spans="1:4" x14ac:dyDescent="0.2">
      <c r="A695" t="s">
        <v>1557</v>
      </c>
      <c r="B695" t="s">
        <v>1556</v>
      </c>
      <c r="C695" t="s">
        <v>250</v>
      </c>
      <c r="D695" t="s">
        <v>212</v>
      </c>
    </row>
    <row r="696" spans="1:4" x14ac:dyDescent="0.2">
      <c r="A696" t="s">
        <v>1559</v>
      </c>
      <c r="B696" t="s">
        <v>1558</v>
      </c>
      <c r="C696" t="s">
        <v>250</v>
      </c>
      <c r="D696" t="s">
        <v>87</v>
      </c>
    </row>
    <row r="697" spans="1:4" x14ac:dyDescent="0.2">
      <c r="A697" t="s">
        <v>1561</v>
      </c>
      <c r="B697" t="s">
        <v>1560</v>
      </c>
      <c r="C697" t="s">
        <v>250</v>
      </c>
      <c r="D697" t="s">
        <v>214</v>
      </c>
    </row>
    <row r="698" spans="1:4" x14ac:dyDescent="0.2">
      <c r="A698" t="s">
        <v>1563</v>
      </c>
      <c r="B698" t="s">
        <v>1562</v>
      </c>
      <c r="C698" t="s">
        <v>250</v>
      </c>
      <c r="D698" t="s">
        <v>87</v>
      </c>
    </row>
    <row r="699" spans="1:4" x14ac:dyDescent="0.2">
      <c r="A699" t="s">
        <v>1565</v>
      </c>
      <c r="B699" t="s">
        <v>1564</v>
      </c>
      <c r="C699" t="s">
        <v>250</v>
      </c>
      <c r="D699" t="s">
        <v>212</v>
      </c>
    </row>
    <row r="700" spans="1:4" x14ac:dyDescent="0.2">
      <c r="A700" t="s">
        <v>1567</v>
      </c>
      <c r="B700" t="s">
        <v>1566</v>
      </c>
      <c r="C700" t="s">
        <v>250</v>
      </c>
      <c r="D700" t="s">
        <v>214</v>
      </c>
    </row>
    <row r="701" spans="1:4" x14ac:dyDescent="0.2">
      <c r="A701" t="s">
        <v>1569</v>
      </c>
      <c r="B701" t="s">
        <v>1568</v>
      </c>
      <c r="C701" t="s">
        <v>250</v>
      </c>
      <c r="D701" t="s">
        <v>214</v>
      </c>
    </row>
    <row r="702" spans="1:4" x14ac:dyDescent="0.2">
      <c r="A702" t="s">
        <v>1571</v>
      </c>
      <c r="B702" t="s">
        <v>1570</v>
      </c>
      <c r="C702" t="s">
        <v>250</v>
      </c>
      <c r="D702" t="s">
        <v>87</v>
      </c>
    </row>
    <row r="703" spans="1:4" x14ac:dyDescent="0.2">
      <c r="A703" t="s">
        <v>1573</v>
      </c>
      <c r="B703" t="s">
        <v>1572</v>
      </c>
      <c r="C703" t="s">
        <v>250</v>
      </c>
      <c r="D703" t="s">
        <v>214</v>
      </c>
    </row>
    <row r="704" spans="1:4" x14ac:dyDescent="0.2">
      <c r="A704" t="s">
        <v>1504</v>
      </c>
      <c r="B704" t="s">
        <v>1574</v>
      </c>
      <c r="C704" t="s">
        <v>250</v>
      </c>
      <c r="D704" t="s">
        <v>87</v>
      </c>
    </row>
    <row r="705" spans="1:4" x14ac:dyDescent="0.2">
      <c r="A705" t="s">
        <v>1576</v>
      </c>
      <c r="B705" t="s">
        <v>1575</v>
      </c>
      <c r="C705" t="s">
        <v>250</v>
      </c>
      <c r="D705" t="s">
        <v>212</v>
      </c>
    </row>
    <row r="706" spans="1:4" x14ac:dyDescent="0.2">
      <c r="A706" t="s">
        <v>1578</v>
      </c>
      <c r="B706" t="s">
        <v>1577</v>
      </c>
      <c r="C706" t="s">
        <v>236</v>
      </c>
      <c r="D706" t="s">
        <v>55</v>
      </c>
    </row>
    <row r="707" spans="1:4" x14ac:dyDescent="0.2">
      <c r="A707" t="s">
        <v>64</v>
      </c>
      <c r="B707" t="s">
        <v>1579</v>
      </c>
      <c r="C707" t="s">
        <v>250</v>
      </c>
      <c r="D707" t="s">
        <v>212</v>
      </c>
    </row>
    <row r="708" spans="1:4" x14ac:dyDescent="0.2">
      <c r="A708" t="s">
        <v>1581</v>
      </c>
      <c r="B708" t="s">
        <v>1580</v>
      </c>
      <c r="C708" t="s">
        <v>250</v>
      </c>
      <c r="D708" t="s">
        <v>87</v>
      </c>
    </row>
    <row r="709" spans="1:4" x14ac:dyDescent="0.2">
      <c r="A709" t="s">
        <v>1583</v>
      </c>
      <c r="B709" t="s">
        <v>1582</v>
      </c>
      <c r="C709" t="s">
        <v>250</v>
      </c>
      <c r="D709" t="s">
        <v>87</v>
      </c>
    </row>
    <row r="710" spans="1:4" x14ac:dyDescent="0.2">
      <c r="A710" t="s">
        <v>1585</v>
      </c>
      <c r="B710" t="s">
        <v>1584</v>
      </c>
      <c r="C710" t="s">
        <v>239</v>
      </c>
      <c r="D710" t="s">
        <v>109</v>
      </c>
    </row>
    <row r="711" spans="1:4" x14ac:dyDescent="0.2">
      <c r="A711" t="s">
        <v>1587</v>
      </c>
      <c r="B711" t="s">
        <v>1586</v>
      </c>
      <c r="C711" t="s">
        <v>250</v>
      </c>
      <c r="D711" t="s">
        <v>212</v>
      </c>
    </row>
    <row r="712" spans="1:4" x14ac:dyDescent="0.2">
      <c r="A712" t="s">
        <v>1589</v>
      </c>
      <c r="B712" t="s">
        <v>1588</v>
      </c>
      <c r="C712" t="s">
        <v>250</v>
      </c>
      <c r="D712" t="s">
        <v>212</v>
      </c>
    </row>
    <row r="713" spans="1:4" x14ac:dyDescent="0.2">
      <c r="A713" t="s">
        <v>1591</v>
      </c>
      <c r="B713" t="s">
        <v>1590</v>
      </c>
      <c r="C713" t="s">
        <v>250</v>
      </c>
      <c r="D713" t="s">
        <v>87</v>
      </c>
    </row>
    <row r="714" spans="1:4" x14ac:dyDescent="0.2">
      <c r="A714" t="s">
        <v>1593</v>
      </c>
      <c r="B714" t="s">
        <v>1592</v>
      </c>
      <c r="C714" t="s">
        <v>250</v>
      </c>
      <c r="D714" t="s">
        <v>212</v>
      </c>
    </row>
    <row r="715" spans="1:4" x14ac:dyDescent="0.2">
      <c r="A715" t="s">
        <v>1595</v>
      </c>
      <c r="B715" t="s">
        <v>1594</v>
      </c>
      <c r="C715" t="s">
        <v>239</v>
      </c>
      <c r="D715" t="s">
        <v>216</v>
      </c>
    </row>
    <row r="716" spans="1:4" x14ac:dyDescent="0.2">
      <c r="A716" t="s">
        <v>1597</v>
      </c>
      <c r="B716" t="s">
        <v>1596</v>
      </c>
      <c r="C716" t="s">
        <v>250</v>
      </c>
      <c r="D716" t="s">
        <v>87</v>
      </c>
    </row>
    <row r="717" spans="1:4" x14ac:dyDescent="0.2">
      <c r="A717" t="s">
        <v>1599</v>
      </c>
      <c r="B717" t="s">
        <v>1598</v>
      </c>
      <c r="C717" t="s">
        <v>250</v>
      </c>
      <c r="D717" t="s">
        <v>87</v>
      </c>
    </row>
    <row r="718" spans="1:4" x14ac:dyDescent="0.2">
      <c r="A718" t="s">
        <v>1601</v>
      </c>
      <c r="B718" t="s">
        <v>1600</v>
      </c>
      <c r="C718" t="s">
        <v>250</v>
      </c>
      <c r="D718" t="s">
        <v>87</v>
      </c>
    </row>
    <row r="719" spans="1:4" x14ac:dyDescent="0.2">
      <c r="A719" t="s">
        <v>1603</v>
      </c>
      <c r="B719" t="s">
        <v>1602</v>
      </c>
      <c r="C719" t="s">
        <v>250</v>
      </c>
      <c r="D719" t="s">
        <v>212</v>
      </c>
    </row>
    <row r="720" spans="1:4" x14ac:dyDescent="0.2">
      <c r="A720" t="s">
        <v>1605</v>
      </c>
      <c r="B720" t="s">
        <v>1604</v>
      </c>
      <c r="C720" t="s">
        <v>250</v>
      </c>
      <c r="D720" t="s">
        <v>212</v>
      </c>
    </row>
    <row r="721" spans="1:4" x14ac:dyDescent="0.2">
      <c r="A721" t="s">
        <v>1607</v>
      </c>
      <c r="B721" t="s">
        <v>1606</v>
      </c>
      <c r="C721" t="s">
        <v>250</v>
      </c>
      <c r="D721" t="s">
        <v>212</v>
      </c>
    </row>
    <row r="722" spans="1:4" x14ac:dyDescent="0.2">
      <c r="A722" t="s">
        <v>1609</v>
      </c>
      <c r="B722" t="s">
        <v>1608</v>
      </c>
      <c r="C722" t="s">
        <v>250</v>
      </c>
      <c r="D722" t="s">
        <v>214</v>
      </c>
    </row>
    <row r="723" spans="1:4" x14ac:dyDescent="0.2">
      <c r="A723" t="s">
        <v>1611</v>
      </c>
      <c r="B723" t="s">
        <v>1610</v>
      </c>
      <c r="C723" t="s">
        <v>250</v>
      </c>
      <c r="D723" t="s">
        <v>214</v>
      </c>
    </row>
    <row r="724" spans="1:4" x14ac:dyDescent="0.2">
      <c r="A724" t="s">
        <v>1613</v>
      </c>
      <c r="B724" t="s">
        <v>1612</v>
      </c>
      <c r="C724" t="s">
        <v>250</v>
      </c>
      <c r="D724" t="s">
        <v>214</v>
      </c>
    </row>
    <row r="725" spans="1:4" x14ac:dyDescent="0.2">
      <c r="A725" t="s">
        <v>1615</v>
      </c>
      <c r="B725" t="s">
        <v>1614</v>
      </c>
      <c r="C725" t="s">
        <v>250</v>
      </c>
      <c r="D725" t="s">
        <v>214</v>
      </c>
    </row>
    <row r="726" spans="1:4" x14ac:dyDescent="0.2">
      <c r="A726" t="s">
        <v>1617</v>
      </c>
      <c r="B726" t="s">
        <v>1616</v>
      </c>
      <c r="C726" t="s">
        <v>250</v>
      </c>
      <c r="D726" t="s">
        <v>212</v>
      </c>
    </row>
    <row r="727" spans="1:4" x14ac:dyDescent="0.2">
      <c r="A727" t="s">
        <v>1619</v>
      </c>
      <c r="B727" t="s">
        <v>1618</v>
      </c>
      <c r="C727" t="s">
        <v>250</v>
      </c>
      <c r="D727" t="s">
        <v>214</v>
      </c>
    </row>
    <row r="728" spans="1:4" x14ac:dyDescent="0.2">
      <c r="A728" t="s">
        <v>1621</v>
      </c>
      <c r="B728" t="s">
        <v>1620</v>
      </c>
      <c r="C728" t="s">
        <v>250</v>
      </c>
      <c r="D728" t="s">
        <v>212</v>
      </c>
    </row>
    <row r="729" spans="1:4" x14ac:dyDescent="0.2">
      <c r="A729" t="s">
        <v>1623</v>
      </c>
      <c r="B729" t="s">
        <v>1622</v>
      </c>
      <c r="C729" t="s">
        <v>250</v>
      </c>
      <c r="D729" t="s">
        <v>87</v>
      </c>
    </row>
    <row r="730" spans="1:4" x14ac:dyDescent="0.2">
      <c r="A730" t="s">
        <v>1625</v>
      </c>
      <c r="B730" t="s">
        <v>1624</v>
      </c>
      <c r="C730" t="s">
        <v>250</v>
      </c>
      <c r="D730" t="s">
        <v>87</v>
      </c>
    </row>
    <row r="731" spans="1:4" x14ac:dyDescent="0.2">
      <c r="A731" t="s">
        <v>1627</v>
      </c>
      <c r="B731" t="s">
        <v>1626</v>
      </c>
      <c r="C731" t="s">
        <v>250</v>
      </c>
      <c r="D731" t="s">
        <v>214</v>
      </c>
    </row>
    <row r="732" spans="1:4" x14ac:dyDescent="0.2">
      <c r="A732" t="s">
        <v>1629</v>
      </c>
      <c r="B732" t="s">
        <v>1628</v>
      </c>
      <c r="C732" t="s">
        <v>250</v>
      </c>
      <c r="D732" t="s">
        <v>87</v>
      </c>
    </row>
    <row r="733" spans="1:4" x14ac:dyDescent="0.2">
      <c r="A733" t="s">
        <v>1631</v>
      </c>
      <c r="B733" t="s">
        <v>1630</v>
      </c>
      <c r="C733" t="s">
        <v>250</v>
      </c>
      <c r="D733" t="s">
        <v>87</v>
      </c>
    </row>
    <row r="734" spans="1:4" x14ac:dyDescent="0.2">
      <c r="A734" t="s">
        <v>1633</v>
      </c>
      <c r="B734" t="s">
        <v>1632</v>
      </c>
      <c r="C734" t="s">
        <v>250</v>
      </c>
      <c r="D734" t="s">
        <v>214</v>
      </c>
    </row>
    <row r="735" spans="1:4" x14ac:dyDescent="0.2">
      <c r="A735" t="s">
        <v>78</v>
      </c>
      <c r="B735" t="s">
        <v>1634</v>
      </c>
      <c r="C735" t="s">
        <v>250</v>
      </c>
      <c r="D735" t="s">
        <v>212</v>
      </c>
    </row>
    <row r="736" spans="1:4" x14ac:dyDescent="0.2">
      <c r="A736" t="s">
        <v>1636</v>
      </c>
      <c r="B736" t="s">
        <v>1635</v>
      </c>
      <c r="C736" t="s">
        <v>250</v>
      </c>
      <c r="D736" t="s">
        <v>87</v>
      </c>
    </row>
    <row r="737" spans="1:4" x14ac:dyDescent="0.2">
      <c r="A737" t="s">
        <v>1638</v>
      </c>
      <c r="B737" t="s">
        <v>1637</v>
      </c>
      <c r="C737" t="s">
        <v>250</v>
      </c>
      <c r="D737" t="s">
        <v>212</v>
      </c>
    </row>
    <row r="738" spans="1:4" x14ac:dyDescent="0.2">
      <c r="A738" t="s">
        <v>1640</v>
      </c>
      <c r="B738" t="s">
        <v>1639</v>
      </c>
      <c r="C738" t="s">
        <v>250</v>
      </c>
      <c r="D738" t="s">
        <v>212</v>
      </c>
    </row>
    <row r="739" spans="1:4" x14ac:dyDescent="0.2">
      <c r="A739" t="s">
        <v>1236</v>
      </c>
      <c r="B739" t="s">
        <v>1641</v>
      </c>
      <c r="C739" t="s">
        <v>250</v>
      </c>
      <c r="D739" t="s">
        <v>87</v>
      </c>
    </row>
    <row r="740" spans="1:4" x14ac:dyDescent="0.2">
      <c r="A740" t="s">
        <v>1643</v>
      </c>
      <c r="B740" t="s">
        <v>1642</v>
      </c>
      <c r="C740" t="s">
        <v>236</v>
      </c>
      <c r="D740" t="s">
        <v>52</v>
      </c>
    </row>
    <row r="741" spans="1:4" x14ac:dyDescent="0.2">
      <c r="A741" t="s">
        <v>1645</v>
      </c>
      <c r="B741" t="s">
        <v>1644</v>
      </c>
      <c r="C741" t="s">
        <v>250</v>
      </c>
      <c r="D741" t="s">
        <v>87</v>
      </c>
    </row>
    <row r="742" spans="1:4" x14ac:dyDescent="0.2">
      <c r="A742" t="s">
        <v>1647</v>
      </c>
      <c r="B742" t="s">
        <v>1646</v>
      </c>
      <c r="C742" t="s">
        <v>250</v>
      </c>
      <c r="D742" t="s">
        <v>214</v>
      </c>
    </row>
    <row r="743" spans="1:4" x14ac:dyDescent="0.2">
      <c r="A743" t="s">
        <v>1649</v>
      </c>
      <c r="B743" t="s">
        <v>1648</v>
      </c>
      <c r="C743" t="s">
        <v>250</v>
      </c>
      <c r="D743" t="s">
        <v>87</v>
      </c>
    </row>
    <row r="744" spans="1:4" x14ac:dyDescent="0.2">
      <c r="A744" t="s">
        <v>1651</v>
      </c>
      <c r="B744" t="s">
        <v>1650</v>
      </c>
      <c r="C744" t="s">
        <v>250</v>
      </c>
      <c r="D744" t="s">
        <v>87</v>
      </c>
    </row>
    <row r="745" spans="1:4" x14ac:dyDescent="0.2">
      <c r="A745" t="s">
        <v>1653</v>
      </c>
      <c r="B745" t="s">
        <v>1652</v>
      </c>
      <c r="C745" t="s">
        <v>250</v>
      </c>
      <c r="D745" t="s">
        <v>212</v>
      </c>
    </row>
    <row r="746" spans="1:4" x14ac:dyDescent="0.2">
      <c r="A746" t="s">
        <v>1655</v>
      </c>
      <c r="B746" t="s">
        <v>1654</v>
      </c>
      <c r="C746" t="s">
        <v>250</v>
      </c>
      <c r="D746" t="s">
        <v>87</v>
      </c>
    </row>
    <row r="747" spans="1:4" x14ac:dyDescent="0.2">
      <c r="A747" t="s">
        <v>1657</v>
      </c>
      <c r="B747" t="s">
        <v>1656</v>
      </c>
      <c r="C747" t="s">
        <v>250</v>
      </c>
      <c r="D747" t="s">
        <v>214</v>
      </c>
    </row>
    <row r="748" spans="1:4" x14ac:dyDescent="0.2">
      <c r="A748" t="s">
        <v>1659</v>
      </c>
      <c r="B748" t="s">
        <v>1658</v>
      </c>
      <c r="C748" t="s">
        <v>250</v>
      </c>
      <c r="D748" t="s">
        <v>212</v>
      </c>
    </row>
    <row r="749" spans="1:4" x14ac:dyDescent="0.2">
      <c r="A749" t="s">
        <v>1661</v>
      </c>
      <c r="B749" t="s">
        <v>1660</v>
      </c>
      <c r="C749" t="s">
        <v>250</v>
      </c>
      <c r="D749" t="s">
        <v>87</v>
      </c>
    </row>
    <row r="750" spans="1:4" x14ac:dyDescent="0.2">
      <c r="A750" t="s">
        <v>1663</v>
      </c>
      <c r="B750" t="s">
        <v>1662</v>
      </c>
      <c r="C750" t="s">
        <v>250</v>
      </c>
      <c r="D750" t="s">
        <v>87</v>
      </c>
    </row>
    <row r="751" spans="1:4" x14ac:dyDescent="0.2">
      <c r="A751" t="s">
        <v>1665</v>
      </c>
      <c r="B751" t="s">
        <v>1664</v>
      </c>
      <c r="C751" t="s">
        <v>236</v>
      </c>
      <c r="D751" t="s">
        <v>55</v>
      </c>
    </row>
    <row r="752" spans="1:4" x14ac:dyDescent="0.2">
      <c r="A752" t="s">
        <v>1667</v>
      </c>
      <c r="B752" t="s">
        <v>1666</v>
      </c>
      <c r="C752" t="s">
        <v>236</v>
      </c>
      <c r="D752" t="s">
        <v>52</v>
      </c>
    </row>
    <row r="753" spans="1:4" x14ac:dyDescent="0.2">
      <c r="A753" t="s">
        <v>1669</v>
      </c>
      <c r="B753" t="s">
        <v>1668</v>
      </c>
      <c r="C753" t="s">
        <v>236</v>
      </c>
      <c r="D753" t="s">
        <v>52</v>
      </c>
    </row>
    <row r="754" spans="1:4" x14ac:dyDescent="0.2">
      <c r="A754" t="s">
        <v>1671</v>
      </c>
      <c r="B754" t="s">
        <v>1670</v>
      </c>
      <c r="C754" t="s">
        <v>250</v>
      </c>
      <c r="D754" t="s">
        <v>87</v>
      </c>
    </row>
    <row r="755" spans="1:4" x14ac:dyDescent="0.2">
      <c r="A755" t="s">
        <v>1673</v>
      </c>
      <c r="B755" t="s">
        <v>1672</v>
      </c>
      <c r="C755" t="s">
        <v>250</v>
      </c>
      <c r="D755" t="s">
        <v>87</v>
      </c>
    </row>
    <row r="756" spans="1:4" x14ac:dyDescent="0.2">
      <c r="A756" t="s">
        <v>1675</v>
      </c>
      <c r="B756" t="s">
        <v>1674</v>
      </c>
      <c r="C756" t="s">
        <v>250</v>
      </c>
      <c r="D756" t="s">
        <v>87</v>
      </c>
    </row>
    <row r="757" spans="1:4" x14ac:dyDescent="0.2">
      <c r="A757" t="s">
        <v>818</v>
      </c>
      <c r="B757" t="s">
        <v>1676</v>
      </c>
      <c r="C757" t="s">
        <v>250</v>
      </c>
      <c r="D757" t="s">
        <v>87</v>
      </c>
    </row>
    <row r="758" spans="1:4" x14ac:dyDescent="0.2">
      <c r="A758" t="s">
        <v>1678</v>
      </c>
      <c r="B758" t="s">
        <v>1677</v>
      </c>
      <c r="C758" t="s">
        <v>250</v>
      </c>
      <c r="D758" t="s">
        <v>212</v>
      </c>
    </row>
    <row r="759" spans="1:4" x14ac:dyDescent="0.2">
      <c r="A759" t="s">
        <v>1680</v>
      </c>
      <c r="B759" t="s">
        <v>1679</v>
      </c>
      <c r="C759" t="s">
        <v>250</v>
      </c>
      <c r="D759" t="s">
        <v>87</v>
      </c>
    </row>
    <row r="760" spans="1:4" x14ac:dyDescent="0.2">
      <c r="A760" t="s">
        <v>1682</v>
      </c>
      <c r="B760" t="s">
        <v>1681</v>
      </c>
      <c r="C760" t="s">
        <v>250</v>
      </c>
      <c r="D760" t="s">
        <v>87</v>
      </c>
    </row>
    <row r="761" spans="1:4" x14ac:dyDescent="0.2">
      <c r="A761" t="s">
        <v>1684</v>
      </c>
      <c r="B761" t="s">
        <v>1683</v>
      </c>
      <c r="C761" t="s">
        <v>250</v>
      </c>
      <c r="D761" t="s">
        <v>214</v>
      </c>
    </row>
    <row r="762" spans="1:4" x14ac:dyDescent="0.2">
      <c r="A762" t="s">
        <v>1686</v>
      </c>
      <c r="B762" t="s">
        <v>1685</v>
      </c>
      <c r="C762" t="s">
        <v>250</v>
      </c>
      <c r="D762" t="s">
        <v>214</v>
      </c>
    </row>
    <row r="763" spans="1:4" x14ac:dyDescent="0.2">
      <c r="A763" t="s">
        <v>1688</v>
      </c>
      <c r="B763" t="s">
        <v>1687</v>
      </c>
      <c r="C763" t="s">
        <v>250</v>
      </c>
      <c r="D763" t="s">
        <v>214</v>
      </c>
    </row>
    <row r="764" spans="1:4" x14ac:dyDescent="0.2">
      <c r="A764" t="s">
        <v>1690</v>
      </c>
      <c r="B764" t="s">
        <v>1689</v>
      </c>
      <c r="C764" t="s">
        <v>250</v>
      </c>
      <c r="D764" t="s">
        <v>212</v>
      </c>
    </row>
    <row r="765" spans="1:4" x14ac:dyDescent="0.2">
      <c r="A765" t="s">
        <v>1692</v>
      </c>
      <c r="B765" t="s">
        <v>1691</v>
      </c>
      <c r="C765" t="s">
        <v>250</v>
      </c>
      <c r="D765" t="s">
        <v>87</v>
      </c>
    </row>
    <row r="766" spans="1:4" x14ac:dyDescent="0.2">
      <c r="A766" t="s">
        <v>1694</v>
      </c>
      <c r="B766" t="s">
        <v>1693</v>
      </c>
      <c r="C766" t="s">
        <v>239</v>
      </c>
      <c r="D766" t="s">
        <v>216</v>
      </c>
    </row>
    <row r="767" spans="1:4" x14ac:dyDescent="0.2">
      <c r="A767" t="s">
        <v>1696</v>
      </c>
      <c r="B767" t="s">
        <v>1695</v>
      </c>
      <c r="C767" t="s">
        <v>239</v>
      </c>
      <c r="D767" t="s">
        <v>216</v>
      </c>
    </row>
    <row r="768" spans="1:4" x14ac:dyDescent="0.2">
      <c r="A768" t="s">
        <v>1698</v>
      </c>
      <c r="B768" t="s">
        <v>1697</v>
      </c>
      <c r="C768" t="s">
        <v>236</v>
      </c>
      <c r="D768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AA22-6D0B-4C98-AED4-D55AFF635937}">
  <dimension ref="A1:O686"/>
  <sheetViews>
    <sheetView topLeftCell="C1" workbookViewId="0">
      <selection activeCell="I17" sqref="I17"/>
    </sheetView>
  </sheetViews>
  <sheetFormatPr defaultRowHeight="14.25" x14ac:dyDescent="0.2"/>
  <cols>
    <col min="2" max="2" width="14.625" style="28" bestFit="1" customWidth="1"/>
    <col min="11" max="11" width="11.5" style="30" bestFit="1" customWidth="1"/>
    <col min="12" max="12" width="33.375" customWidth="1"/>
    <col min="15" max="15" width="9" style="29"/>
  </cols>
  <sheetData>
    <row r="1" spans="1:15" x14ac:dyDescent="0.2">
      <c r="A1" t="s">
        <v>166</v>
      </c>
      <c r="B1" s="28" t="s">
        <v>167</v>
      </c>
      <c r="C1" t="s">
        <v>163</v>
      </c>
      <c r="D1" t="s">
        <v>168</v>
      </c>
      <c r="E1" t="s">
        <v>169</v>
      </c>
      <c r="F1" t="s">
        <v>170</v>
      </c>
      <c r="G1" t="s">
        <v>173</v>
      </c>
      <c r="H1" t="s">
        <v>171</v>
      </c>
      <c r="I1" t="s">
        <v>172</v>
      </c>
      <c r="J1" t="s">
        <v>174</v>
      </c>
      <c r="K1" s="30" t="s">
        <v>175</v>
      </c>
      <c r="L1" t="s">
        <v>176</v>
      </c>
      <c r="M1" t="s">
        <v>177</v>
      </c>
      <c r="N1" t="s">
        <v>178</v>
      </c>
      <c r="O1" s="29" t="s">
        <v>179</v>
      </c>
    </row>
    <row r="2" spans="1:15" x14ac:dyDescent="0.2">
      <c r="A2">
        <f>获奖信息!A2</f>
        <v>1</v>
      </c>
      <c r="B2">
        <f>获奖信息!B2</f>
        <v>45741</v>
      </c>
      <c r="C2" t="str">
        <f>获奖信息!C2</f>
        <v>设备动力科</v>
      </c>
      <c r="D2" t="str">
        <f>获奖信息!D2</f>
        <v>内部获奖</v>
      </c>
      <c r="E2" t="str">
        <f>获奖信息!E2</f>
        <v>工厂级QC发表获奖</v>
      </c>
      <c r="F2" t="str">
        <f>获奖信息!F2</f>
        <v>一等奖</v>
      </c>
      <c r="G2">
        <f>获奖信息!G2</f>
        <v>0</v>
      </c>
      <c r="H2" t="str">
        <f>获奖信息!H2</f>
        <v>否</v>
      </c>
      <c r="I2">
        <f>获奖信息!I2</f>
        <v>2.5</v>
      </c>
      <c r="J2" t="str">
        <f>获奖信息!J2</f>
        <v>王瑞林</v>
      </c>
      <c r="K2">
        <f>获奖信息!K2</f>
        <v>8699083</v>
      </c>
      <c r="L2">
        <f>获奖信息!L2</f>
        <v>0</v>
      </c>
      <c r="M2">
        <f>获奖信息!M2</f>
        <v>280</v>
      </c>
      <c r="N2">
        <f>获奖信息!N2</f>
        <v>2000</v>
      </c>
      <c r="O2">
        <f>获奖信息!O2</f>
        <v>0.35000000000000003</v>
      </c>
    </row>
    <row r="3" spans="1:15" x14ac:dyDescent="0.2">
      <c r="A3">
        <f>获奖信息!A3</f>
        <v>2</v>
      </c>
      <c r="B3">
        <f>获奖信息!B3</f>
        <v>45741</v>
      </c>
      <c r="C3" t="str">
        <f>获奖信息!C3</f>
        <v>设备动力科</v>
      </c>
      <c r="D3" t="str">
        <f>获奖信息!D3</f>
        <v>内部获奖</v>
      </c>
      <c r="E3" t="str">
        <f>获奖信息!E3</f>
        <v>工厂级QC发表获奖</v>
      </c>
      <c r="F3" t="str">
        <f>获奖信息!F3</f>
        <v>一等奖</v>
      </c>
      <c r="G3">
        <f>获奖信息!G3</f>
        <v>0</v>
      </c>
      <c r="H3" t="str">
        <f>获奖信息!H3</f>
        <v>否</v>
      </c>
      <c r="I3">
        <f>获奖信息!I3</f>
        <v>2.5</v>
      </c>
      <c r="J3" t="str">
        <f>获奖信息!J3</f>
        <v>师铮</v>
      </c>
      <c r="K3">
        <f>获奖信息!K3</f>
        <v>8676014</v>
      </c>
      <c r="L3">
        <f>获奖信息!L3</f>
        <v>0</v>
      </c>
      <c r="M3">
        <f>获奖信息!M3</f>
        <v>280</v>
      </c>
      <c r="N3">
        <f>获奖信息!N3</f>
        <v>2000</v>
      </c>
      <c r="O3">
        <f>获奖信息!O3</f>
        <v>0.35000000000000003</v>
      </c>
    </row>
    <row r="4" spans="1:15" x14ac:dyDescent="0.2">
      <c r="A4">
        <f>获奖信息!A4</f>
        <v>3</v>
      </c>
      <c r="B4">
        <f>获奖信息!B4</f>
        <v>45741</v>
      </c>
      <c r="C4" t="str">
        <f>获奖信息!C4</f>
        <v>设备动力科</v>
      </c>
      <c r="D4" t="str">
        <f>获奖信息!D4</f>
        <v>内部获奖</v>
      </c>
      <c r="E4" t="str">
        <f>获奖信息!E4</f>
        <v>工厂级QC发表获奖</v>
      </c>
      <c r="F4" t="str">
        <f>获奖信息!F4</f>
        <v>一等奖</v>
      </c>
      <c r="G4">
        <f>获奖信息!G4</f>
        <v>0</v>
      </c>
      <c r="H4" t="str">
        <f>获奖信息!H4</f>
        <v>否</v>
      </c>
      <c r="I4">
        <f>获奖信息!I4</f>
        <v>2.5</v>
      </c>
      <c r="J4" t="str">
        <f>获奖信息!J4</f>
        <v>唐小光</v>
      </c>
      <c r="K4">
        <f>获奖信息!K4</f>
        <v>8673997</v>
      </c>
      <c r="L4">
        <f>获奖信息!L4</f>
        <v>0</v>
      </c>
      <c r="M4">
        <f>获奖信息!M4</f>
        <v>280</v>
      </c>
      <c r="N4">
        <f>获奖信息!N4</f>
        <v>2000</v>
      </c>
      <c r="O4">
        <f>获奖信息!O4</f>
        <v>0.35000000000000003</v>
      </c>
    </row>
    <row r="5" spans="1:15" x14ac:dyDescent="0.2">
      <c r="A5">
        <f>获奖信息!A5</f>
        <v>4</v>
      </c>
      <c r="B5">
        <f>获奖信息!B5</f>
        <v>45741</v>
      </c>
      <c r="C5" t="str">
        <f>获奖信息!C5</f>
        <v>设备动力科</v>
      </c>
      <c r="D5" t="str">
        <f>获奖信息!D5</f>
        <v>内部获奖</v>
      </c>
      <c r="E5" t="str">
        <f>获奖信息!E5</f>
        <v>工厂级QC发表获奖</v>
      </c>
      <c r="F5" t="str">
        <f>获奖信息!F5</f>
        <v>一等奖</v>
      </c>
      <c r="G5">
        <f>获奖信息!G5</f>
        <v>0</v>
      </c>
      <c r="H5" t="str">
        <f>获奖信息!H5</f>
        <v>否</v>
      </c>
      <c r="I5">
        <f>获奖信息!I5</f>
        <v>2.5</v>
      </c>
      <c r="J5" t="str">
        <f>获奖信息!J5</f>
        <v>于勇</v>
      </c>
      <c r="K5">
        <f>获奖信息!K5</f>
        <v>8680311</v>
      </c>
      <c r="L5">
        <f>获奖信息!L5</f>
        <v>0</v>
      </c>
      <c r="M5">
        <f>获奖信息!M5</f>
        <v>280</v>
      </c>
      <c r="N5">
        <f>获奖信息!N5</f>
        <v>2000</v>
      </c>
      <c r="O5">
        <f>获奖信息!O5</f>
        <v>0.35000000000000003</v>
      </c>
    </row>
    <row r="6" spans="1:15" x14ac:dyDescent="0.2">
      <c r="A6">
        <f>获奖信息!A6</f>
        <v>5</v>
      </c>
      <c r="B6">
        <f>获奖信息!B6</f>
        <v>45741</v>
      </c>
      <c r="C6" t="str">
        <f>获奖信息!C6</f>
        <v>设备动力科</v>
      </c>
      <c r="D6" t="str">
        <f>获奖信息!D6</f>
        <v>内部获奖</v>
      </c>
      <c r="E6" t="str">
        <f>获奖信息!E6</f>
        <v>工厂级QC发表获奖</v>
      </c>
      <c r="F6" t="str">
        <f>获奖信息!F6</f>
        <v>一等奖</v>
      </c>
      <c r="G6">
        <f>获奖信息!G6</f>
        <v>0</v>
      </c>
      <c r="H6" t="str">
        <f>获奖信息!H6</f>
        <v>否</v>
      </c>
      <c r="I6">
        <f>获奖信息!I6</f>
        <v>2.5</v>
      </c>
      <c r="J6" t="str">
        <f>获奖信息!J6</f>
        <v>田晓明</v>
      </c>
      <c r="K6">
        <f>获奖信息!K6</f>
        <v>8681583</v>
      </c>
      <c r="L6">
        <f>获奖信息!L6</f>
        <v>0</v>
      </c>
      <c r="M6">
        <f>获奖信息!M6</f>
        <v>280</v>
      </c>
      <c r="N6">
        <f>获奖信息!N6</f>
        <v>2000</v>
      </c>
      <c r="O6">
        <f>获奖信息!O6</f>
        <v>0.35000000000000003</v>
      </c>
    </row>
    <row r="7" spans="1:15" x14ac:dyDescent="0.2">
      <c r="A7">
        <f>获奖信息!A7</f>
        <v>6</v>
      </c>
      <c r="B7">
        <f>获奖信息!B7</f>
        <v>45741</v>
      </c>
      <c r="C7" t="str">
        <f>获奖信息!C7</f>
        <v>工业工程科</v>
      </c>
      <c r="D7" t="str">
        <f>获奖信息!D7</f>
        <v>内部获奖</v>
      </c>
      <c r="E7" t="str">
        <f>获奖信息!E7</f>
        <v>工厂级QC发表获奖</v>
      </c>
      <c r="F7" t="str">
        <f>获奖信息!F7</f>
        <v>一等奖</v>
      </c>
      <c r="G7">
        <f>获奖信息!G7</f>
        <v>0</v>
      </c>
      <c r="H7" t="str">
        <f>获奖信息!H7</f>
        <v>否</v>
      </c>
      <c r="I7">
        <f>获奖信息!I7</f>
        <v>2.5</v>
      </c>
      <c r="J7" t="str">
        <f>获奖信息!J7</f>
        <v>王晓冬</v>
      </c>
      <c r="K7">
        <f>获奖信息!K7</f>
        <v>8680291</v>
      </c>
      <c r="L7">
        <f>获奖信息!L7</f>
        <v>0</v>
      </c>
      <c r="M7">
        <f>获奖信息!M7</f>
        <v>200</v>
      </c>
      <c r="N7">
        <f>获奖信息!N7</f>
        <v>2000</v>
      </c>
      <c r="O7">
        <f>获奖信息!O7</f>
        <v>0.25</v>
      </c>
    </row>
    <row r="8" spans="1:15" x14ac:dyDescent="0.2">
      <c r="A8">
        <f>获奖信息!A8</f>
        <v>7</v>
      </c>
      <c r="B8">
        <f>获奖信息!B8</f>
        <v>45741</v>
      </c>
      <c r="C8" t="str">
        <f>获奖信息!C8</f>
        <v>工业工程科</v>
      </c>
      <c r="D8" t="str">
        <f>获奖信息!D8</f>
        <v>内部获奖</v>
      </c>
      <c r="E8" t="str">
        <f>获奖信息!E8</f>
        <v>工厂级QC发表获奖</v>
      </c>
      <c r="F8" t="str">
        <f>获奖信息!F8</f>
        <v>一等奖</v>
      </c>
      <c r="G8">
        <f>获奖信息!G8</f>
        <v>0</v>
      </c>
      <c r="H8" t="str">
        <f>获奖信息!H8</f>
        <v>否</v>
      </c>
      <c r="I8">
        <f>获奖信息!I8</f>
        <v>2.5</v>
      </c>
      <c r="J8" t="str">
        <f>获奖信息!J8</f>
        <v>李涛</v>
      </c>
      <c r="K8">
        <f>获奖信息!K8</f>
        <v>8682097</v>
      </c>
      <c r="L8">
        <f>获奖信息!L8</f>
        <v>0</v>
      </c>
      <c r="M8">
        <f>获奖信息!M8</f>
        <v>200</v>
      </c>
      <c r="N8">
        <f>获奖信息!N8</f>
        <v>2000</v>
      </c>
      <c r="O8">
        <f>获奖信息!O8</f>
        <v>0.25</v>
      </c>
    </row>
    <row r="9" spans="1:15" x14ac:dyDescent="0.2">
      <c r="A9">
        <f>获奖信息!A9</f>
        <v>8</v>
      </c>
      <c r="B9">
        <f>获奖信息!B9</f>
        <v>45741</v>
      </c>
      <c r="C9" t="str">
        <f>获奖信息!C9</f>
        <v>工业工程科</v>
      </c>
      <c r="D9" t="str">
        <f>获奖信息!D9</f>
        <v>内部获奖</v>
      </c>
      <c r="E9" t="str">
        <f>获奖信息!E9</f>
        <v>工厂级QC发表获奖</v>
      </c>
      <c r="F9" t="str">
        <f>获奖信息!F9</f>
        <v>一等奖</v>
      </c>
      <c r="G9">
        <f>获奖信息!G9</f>
        <v>0</v>
      </c>
      <c r="H9" t="str">
        <f>获奖信息!H9</f>
        <v>否</v>
      </c>
      <c r="I9">
        <f>获奖信息!I9</f>
        <v>2.5</v>
      </c>
      <c r="J9" t="str">
        <f>获奖信息!J9</f>
        <v>王冠</v>
      </c>
      <c r="K9">
        <f>获奖信息!K9</f>
        <v>8698876</v>
      </c>
      <c r="L9">
        <f>获奖信息!L9</f>
        <v>0</v>
      </c>
      <c r="M9">
        <f>获奖信息!M9</f>
        <v>200</v>
      </c>
      <c r="N9">
        <f>获奖信息!N9</f>
        <v>2000</v>
      </c>
      <c r="O9">
        <f>获奖信息!O9</f>
        <v>0.25</v>
      </c>
    </row>
    <row r="10" spans="1:15" x14ac:dyDescent="0.2">
      <c r="A10">
        <f>获奖信息!A10</f>
        <v>9</v>
      </c>
      <c r="B10">
        <f>获奖信息!B10</f>
        <v>45741</v>
      </c>
      <c r="C10" t="str">
        <f>获奖信息!C10</f>
        <v>生产管理科</v>
      </c>
      <c r="D10" t="str">
        <f>获奖信息!D10</f>
        <v>内部获奖</v>
      </c>
      <c r="E10" t="str">
        <f>获奖信息!E10</f>
        <v>工厂级QC发表获奖</v>
      </c>
      <c r="F10" t="str">
        <f>获奖信息!F10</f>
        <v>二等奖</v>
      </c>
      <c r="G10">
        <f>获奖信息!G10</f>
        <v>0</v>
      </c>
      <c r="H10" t="str">
        <f>获奖信息!H10</f>
        <v>否</v>
      </c>
      <c r="I10">
        <f>获奖信息!I10</f>
        <v>2</v>
      </c>
      <c r="J10" t="str">
        <f>获奖信息!J10</f>
        <v>鲁家嫡</v>
      </c>
      <c r="K10">
        <f>获奖信息!K10</f>
        <v>8683980</v>
      </c>
      <c r="L10">
        <f>获奖信息!L10</f>
        <v>0</v>
      </c>
      <c r="M10">
        <f>获奖信息!M10</f>
        <v>250</v>
      </c>
      <c r="N10">
        <f>获奖信息!N10</f>
        <v>1500</v>
      </c>
      <c r="O10">
        <f>获奖信息!O10</f>
        <v>0.33333333333333331</v>
      </c>
    </row>
    <row r="11" spans="1:15" x14ac:dyDescent="0.2">
      <c r="A11">
        <f>获奖信息!A11</f>
        <v>10</v>
      </c>
      <c r="B11">
        <f>获奖信息!B11</f>
        <v>45741</v>
      </c>
      <c r="C11" t="str">
        <f>获奖信息!C11</f>
        <v>生产管理科</v>
      </c>
      <c r="D11" t="str">
        <f>获奖信息!D11</f>
        <v>内部获奖</v>
      </c>
      <c r="E11" t="str">
        <f>获奖信息!E11</f>
        <v>工厂级QC发表获奖</v>
      </c>
      <c r="F11" t="str">
        <f>获奖信息!F11</f>
        <v>二等奖</v>
      </c>
      <c r="G11">
        <f>获奖信息!G11</f>
        <v>0</v>
      </c>
      <c r="H11" t="str">
        <f>获奖信息!H11</f>
        <v>否</v>
      </c>
      <c r="I11">
        <f>获奖信息!I11</f>
        <v>2</v>
      </c>
      <c r="J11" t="str">
        <f>获奖信息!J11</f>
        <v>于文书</v>
      </c>
      <c r="K11">
        <f>获奖信息!K11</f>
        <v>8683979</v>
      </c>
      <c r="L11">
        <f>获奖信息!L11</f>
        <v>0</v>
      </c>
      <c r="M11">
        <f>获奖信息!M11</f>
        <v>250</v>
      </c>
      <c r="N11">
        <f>获奖信息!N11</f>
        <v>1500</v>
      </c>
      <c r="O11">
        <f>获奖信息!O11</f>
        <v>0.33333333333333331</v>
      </c>
    </row>
    <row r="12" spans="1:15" x14ac:dyDescent="0.2">
      <c r="A12">
        <f>获奖信息!A12</f>
        <v>11</v>
      </c>
      <c r="B12">
        <f>获奖信息!B12</f>
        <v>45741</v>
      </c>
      <c r="C12" t="str">
        <f>获奖信息!C12</f>
        <v>生产管理科</v>
      </c>
      <c r="D12" t="str">
        <f>获奖信息!D12</f>
        <v>内部获奖</v>
      </c>
      <c r="E12" t="str">
        <f>获奖信息!E12</f>
        <v>工厂级QC发表获奖</v>
      </c>
      <c r="F12" t="str">
        <f>获奖信息!F12</f>
        <v>二等奖</v>
      </c>
      <c r="G12">
        <f>获奖信息!G12</f>
        <v>0</v>
      </c>
      <c r="H12" t="str">
        <f>获奖信息!H12</f>
        <v>否</v>
      </c>
      <c r="I12">
        <f>获奖信息!I12</f>
        <v>2</v>
      </c>
      <c r="J12" t="str">
        <f>获奖信息!J12</f>
        <v>赵晓明</v>
      </c>
      <c r="K12">
        <f>获奖信息!K12</f>
        <v>8612473</v>
      </c>
      <c r="L12">
        <f>获奖信息!L12</f>
        <v>0</v>
      </c>
      <c r="M12">
        <f>获奖信息!M12</f>
        <v>250</v>
      </c>
      <c r="N12">
        <f>获奖信息!N12</f>
        <v>1500</v>
      </c>
      <c r="O12">
        <f>获奖信息!O12</f>
        <v>0.33333333333333331</v>
      </c>
    </row>
    <row r="13" spans="1:15" x14ac:dyDescent="0.2">
      <c r="A13">
        <f>获奖信息!A13</f>
        <v>12</v>
      </c>
      <c r="B13">
        <f>获奖信息!B13</f>
        <v>45715</v>
      </c>
      <c r="C13" t="str">
        <f>获奖信息!C13</f>
        <v>生产管理科</v>
      </c>
      <c r="D13" t="str">
        <f>获奖信息!D13</f>
        <v>内部获奖</v>
      </c>
      <c r="E13" t="str">
        <f>获奖信息!E13</f>
        <v>工厂级QC发表获奖</v>
      </c>
      <c r="F13" t="str">
        <f>获奖信息!F13</f>
        <v>二等奖</v>
      </c>
      <c r="G13">
        <f>获奖信息!G13</f>
        <v>0</v>
      </c>
      <c r="H13" t="str">
        <f>获奖信息!H13</f>
        <v>否</v>
      </c>
      <c r="I13">
        <f>获奖信息!I13</f>
        <v>2</v>
      </c>
      <c r="J13" t="str">
        <f>获奖信息!J13</f>
        <v>祝益盛</v>
      </c>
      <c r="K13">
        <f>获奖信息!K13</f>
        <v>8675741</v>
      </c>
      <c r="L13">
        <f>获奖信息!L13</f>
        <v>0</v>
      </c>
      <c r="M13">
        <f>获奖信息!M13</f>
        <v>250</v>
      </c>
      <c r="N13">
        <f>获奖信息!N13</f>
        <v>1500</v>
      </c>
      <c r="O13">
        <f>获奖信息!O13</f>
        <v>0.33333333333333331</v>
      </c>
    </row>
    <row r="14" spans="1:15" x14ac:dyDescent="0.2">
      <c r="A14">
        <f>获奖信息!A14</f>
        <v>13</v>
      </c>
      <c r="B14">
        <f>获奖信息!B14</f>
        <v>45715</v>
      </c>
      <c r="C14" t="str">
        <f>获奖信息!C14</f>
        <v>生产管理科</v>
      </c>
      <c r="D14" t="str">
        <f>获奖信息!D14</f>
        <v>内部获奖</v>
      </c>
      <c r="E14" t="str">
        <f>获奖信息!E14</f>
        <v>工厂级QC发表获奖</v>
      </c>
      <c r="F14" t="str">
        <f>获奖信息!F14</f>
        <v>二等奖</v>
      </c>
      <c r="G14">
        <f>获奖信息!G14</f>
        <v>0</v>
      </c>
      <c r="H14" t="str">
        <f>获奖信息!H14</f>
        <v>否</v>
      </c>
      <c r="I14">
        <f>获奖信息!I14</f>
        <v>2</v>
      </c>
      <c r="J14" t="str">
        <f>获奖信息!J14</f>
        <v>王洋</v>
      </c>
      <c r="K14">
        <f>获奖信息!K14</f>
        <v>8684029</v>
      </c>
      <c r="L14">
        <f>获奖信息!L14</f>
        <v>0</v>
      </c>
      <c r="M14">
        <f>获奖信息!M14</f>
        <v>250</v>
      </c>
      <c r="N14">
        <f>获奖信息!N14</f>
        <v>1500</v>
      </c>
      <c r="O14">
        <f>获奖信息!O14</f>
        <v>0.33333333333333331</v>
      </c>
    </row>
    <row r="15" spans="1:15" x14ac:dyDescent="0.2">
      <c r="A15">
        <f>获奖信息!A15</f>
        <v>14</v>
      </c>
      <c r="B15">
        <f>获奖信息!B15</f>
        <v>45715</v>
      </c>
      <c r="C15" t="str">
        <f>获奖信息!C15</f>
        <v>生产管理科</v>
      </c>
      <c r="D15" t="str">
        <f>获奖信息!D15</f>
        <v>内部获奖</v>
      </c>
      <c r="E15" t="str">
        <f>获奖信息!E15</f>
        <v>工厂级QC发表获奖</v>
      </c>
      <c r="F15" t="str">
        <f>获奖信息!F15</f>
        <v>二等奖</v>
      </c>
      <c r="G15">
        <f>获奖信息!G15</f>
        <v>0</v>
      </c>
      <c r="H15" t="str">
        <f>获奖信息!H15</f>
        <v>否</v>
      </c>
      <c r="I15">
        <f>获奖信息!I15</f>
        <v>2</v>
      </c>
      <c r="J15" t="str">
        <f>获奖信息!J15</f>
        <v>迟健鹏</v>
      </c>
      <c r="K15">
        <f>获奖信息!K15</f>
        <v>8683718</v>
      </c>
      <c r="L15">
        <f>获奖信息!L15</f>
        <v>0</v>
      </c>
      <c r="M15">
        <f>获奖信息!M15</f>
        <v>250</v>
      </c>
      <c r="N15">
        <f>获奖信息!N15</f>
        <v>1500</v>
      </c>
      <c r="O15">
        <f>获奖信息!O15</f>
        <v>0.33333333333333331</v>
      </c>
    </row>
    <row r="16" spans="1:15" x14ac:dyDescent="0.2">
      <c r="A16">
        <f>获奖信息!A16</f>
        <v>15</v>
      </c>
      <c r="B16">
        <f>获奖信息!B16</f>
        <v>45715</v>
      </c>
      <c r="C16" t="str">
        <f>获奖信息!C16</f>
        <v>涂树科</v>
      </c>
      <c r="D16" t="str">
        <f>获奖信息!D16</f>
        <v>内部获奖</v>
      </c>
      <c r="E16" t="str">
        <f>获奖信息!E16</f>
        <v>工厂级QC发表获奖</v>
      </c>
      <c r="F16" t="str">
        <f>获奖信息!F16</f>
        <v>二等奖</v>
      </c>
      <c r="G16">
        <f>获奖信息!G16</f>
        <v>0</v>
      </c>
      <c r="H16" t="str">
        <f>获奖信息!H16</f>
        <v>否</v>
      </c>
      <c r="I16">
        <f>获奖信息!I16</f>
        <v>2</v>
      </c>
      <c r="J16" t="str">
        <f>获奖信息!J16</f>
        <v>刘建勋</v>
      </c>
      <c r="K16">
        <f>获奖信息!K16</f>
        <v>8681239</v>
      </c>
      <c r="L16">
        <f>获奖信息!L16</f>
        <v>0</v>
      </c>
      <c r="M16">
        <f>获奖信息!M16</f>
        <v>500</v>
      </c>
      <c r="N16">
        <f>获奖信息!N16</f>
        <v>1500</v>
      </c>
      <c r="O16">
        <f>获奖信息!O16</f>
        <v>0.66666666666666663</v>
      </c>
    </row>
    <row r="17" spans="1:15" x14ac:dyDescent="0.2">
      <c r="A17">
        <f>获奖信息!A17</f>
        <v>16</v>
      </c>
      <c r="B17">
        <f>获奖信息!B17</f>
        <v>45715</v>
      </c>
      <c r="C17" t="str">
        <f>获奖信息!C17</f>
        <v>涂树科</v>
      </c>
      <c r="D17" t="str">
        <f>获奖信息!D17</f>
        <v>内部获奖</v>
      </c>
      <c r="E17" t="str">
        <f>获奖信息!E17</f>
        <v>工厂级QC发表获奖</v>
      </c>
      <c r="F17" t="str">
        <f>获奖信息!F17</f>
        <v>二等奖</v>
      </c>
      <c r="G17">
        <f>获奖信息!G17</f>
        <v>0</v>
      </c>
      <c r="H17" t="str">
        <f>获奖信息!H17</f>
        <v>否</v>
      </c>
      <c r="I17">
        <f>获奖信息!I17</f>
        <v>2</v>
      </c>
      <c r="J17" t="str">
        <f>获奖信息!J17</f>
        <v>刘敬彬</v>
      </c>
      <c r="K17">
        <f>获奖信息!K17</f>
        <v>8612665</v>
      </c>
      <c r="L17">
        <f>获奖信息!L17</f>
        <v>0</v>
      </c>
      <c r="M17">
        <f>获奖信息!M17</f>
        <v>500</v>
      </c>
      <c r="N17">
        <f>获奖信息!N17</f>
        <v>1500</v>
      </c>
      <c r="O17">
        <f>获奖信息!O17</f>
        <v>0.66666666666666663</v>
      </c>
    </row>
    <row r="18" spans="1:15" x14ac:dyDescent="0.2">
      <c r="A18">
        <f>获奖信息!A18</f>
        <v>17</v>
      </c>
      <c r="B18">
        <f>获奖信息!B18</f>
        <v>45715</v>
      </c>
      <c r="C18" t="str">
        <f>获奖信息!C18</f>
        <v>设备动力科</v>
      </c>
      <c r="D18" t="str">
        <f>获奖信息!D18</f>
        <v>内部获奖</v>
      </c>
      <c r="E18" t="str">
        <f>获奖信息!E18</f>
        <v>工厂级QC发表获奖</v>
      </c>
      <c r="F18" t="str">
        <f>获奖信息!F18</f>
        <v>二等奖</v>
      </c>
      <c r="G18">
        <f>获奖信息!G18</f>
        <v>0</v>
      </c>
      <c r="H18" t="str">
        <f>获奖信息!H18</f>
        <v>否</v>
      </c>
      <c r="I18">
        <f>获奖信息!I18</f>
        <v>2</v>
      </c>
      <c r="J18" t="str">
        <f>获奖信息!J18</f>
        <v>于洪军</v>
      </c>
      <c r="K18">
        <f>获奖信息!K18</f>
        <v>8685694</v>
      </c>
      <c r="L18">
        <f>获奖信息!L18</f>
        <v>0</v>
      </c>
      <c r="M18">
        <f>获奖信息!M18</f>
        <v>500</v>
      </c>
      <c r="N18">
        <f>获奖信息!N18</f>
        <v>1500</v>
      </c>
      <c r="O18">
        <f>获奖信息!O18</f>
        <v>0.66666666666666663</v>
      </c>
    </row>
    <row r="19" spans="1:15" x14ac:dyDescent="0.2">
      <c r="A19">
        <f>获奖信息!A19</f>
        <v>18</v>
      </c>
      <c r="B19">
        <f>获奖信息!B19</f>
        <v>45715</v>
      </c>
      <c r="C19" t="str">
        <f>获奖信息!C19</f>
        <v>冲焊科</v>
      </c>
      <c r="D19" t="str">
        <f>获奖信息!D19</f>
        <v>内部获奖</v>
      </c>
      <c r="E19" t="str">
        <f>获奖信息!E19</f>
        <v>工厂级QC发表获奖</v>
      </c>
      <c r="F19" t="str">
        <f>获奖信息!F19</f>
        <v>三等奖</v>
      </c>
      <c r="G19">
        <f>获奖信息!G19</f>
        <v>0</v>
      </c>
      <c r="H19" t="str">
        <f>获奖信息!H19</f>
        <v>否</v>
      </c>
      <c r="I19">
        <f>获奖信息!I19</f>
        <v>1.5</v>
      </c>
      <c r="J19" t="str">
        <f>获奖信息!J19</f>
        <v>时守毅</v>
      </c>
      <c r="K19">
        <f>获奖信息!K19</f>
        <v>8676581</v>
      </c>
      <c r="L19">
        <f>获奖信息!L19</f>
        <v>0</v>
      </c>
      <c r="M19">
        <f>获奖信息!M19</f>
        <v>400</v>
      </c>
      <c r="N19">
        <f>获奖信息!N19</f>
        <v>1000</v>
      </c>
      <c r="O19">
        <f>获奖信息!O19</f>
        <v>0.60000000000000009</v>
      </c>
    </row>
    <row r="20" spans="1:15" x14ac:dyDescent="0.2">
      <c r="A20">
        <f>获奖信息!A20</f>
        <v>19</v>
      </c>
      <c r="B20">
        <f>获奖信息!B20</f>
        <v>45715</v>
      </c>
      <c r="C20" t="str">
        <f>获奖信息!C20</f>
        <v>冲焊科</v>
      </c>
      <c r="D20" t="str">
        <f>获奖信息!D20</f>
        <v>内部获奖</v>
      </c>
      <c r="E20" t="str">
        <f>获奖信息!E20</f>
        <v>工厂级QC发表获奖</v>
      </c>
      <c r="F20" t="str">
        <f>获奖信息!F20</f>
        <v>三等奖</v>
      </c>
      <c r="G20">
        <f>获奖信息!G20</f>
        <v>0</v>
      </c>
      <c r="H20" t="str">
        <f>获奖信息!H20</f>
        <v>否</v>
      </c>
      <c r="I20">
        <f>获奖信息!I20</f>
        <v>1.5</v>
      </c>
      <c r="J20" t="str">
        <f>获奖信息!J20</f>
        <v>宋畅</v>
      </c>
      <c r="K20">
        <f>获奖信息!K20</f>
        <v>8676591</v>
      </c>
      <c r="L20">
        <f>获奖信息!L20</f>
        <v>0</v>
      </c>
      <c r="M20">
        <f>获奖信息!M20</f>
        <v>400</v>
      </c>
      <c r="N20">
        <f>获奖信息!N20</f>
        <v>1000</v>
      </c>
      <c r="O20">
        <f>获奖信息!O20</f>
        <v>0.60000000000000009</v>
      </c>
    </row>
    <row r="21" spans="1:15" x14ac:dyDescent="0.2">
      <c r="A21">
        <f>获奖信息!A21</f>
        <v>20</v>
      </c>
      <c r="B21">
        <f>获奖信息!B21</f>
        <v>45715</v>
      </c>
      <c r="C21" t="str">
        <f>获奖信息!C21</f>
        <v>冲焊科</v>
      </c>
      <c r="D21" t="str">
        <f>获奖信息!D21</f>
        <v>内部获奖</v>
      </c>
      <c r="E21" t="str">
        <f>获奖信息!E21</f>
        <v>工厂级QC发表获奖</v>
      </c>
      <c r="F21" t="str">
        <f>获奖信息!F21</f>
        <v>三等奖</v>
      </c>
      <c r="G21">
        <f>获奖信息!G21</f>
        <v>0</v>
      </c>
      <c r="H21" t="str">
        <f>获奖信息!H21</f>
        <v>否</v>
      </c>
      <c r="I21">
        <f>获奖信息!I21</f>
        <v>1.5</v>
      </c>
      <c r="J21" t="str">
        <f>获奖信息!J21</f>
        <v>杨康</v>
      </c>
      <c r="K21">
        <f>获奖信息!K21</f>
        <v>8700494</v>
      </c>
      <c r="L21">
        <f>获奖信息!L21</f>
        <v>0</v>
      </c>
      <c r="M21">
        <f>获奖信息!M21</f>
        <v>200</v>
      </c>
      <c r="N21">
        <f>获奖信息!N21</f>
        <v>1000</v>
      </c>
      <c r="O21">
        <f>获奖信息!O21</f>
        <v>0.30000000000000004</v>
      </c>
    </row>
    <row r="22" spans="1:15" x14ac:dyDescent="0.2">
      <c r="A22">
        <f>获奖信息!A22</f>
        <v>21</v>
      </c>
      <c r="B22">
        <f>获奖信息!B22</f>
        <v>45715</v>
      </c>
      <c r="C22" t="str">
        <f>获奖信息!C22</f>
        <v>品质保证科</v>
      </c>
      <c r="D22" t="str">
        <f>获奖信息!D22</f>
        <v>内部获奖</v>
      </c>
      <c r="E22" t="str">
        <f>获奖信息!E22</f>
        <v>工厂级QC发表获奖</v>
      </c>
      <c r="F22" t="str">
        <f>获奖信息!F22</f>
        <v>三等奖</v>
      </c>
      <c r="G22">
        <f>获奖信息!G22</f>
        <v>0</v>
      </c>
      <c r="H22" t="str">
        <f>获奖信息!H22</f>
        <v>否</v>
      </c>
      <c r="I22">
        <f>获奖信息!I22</f>
        <v>1.5</v>
      </c>
      <c r="J22" t="str">
        <f>获奖信息!J22</f>
        <v>张洪宇</v>
      </c>
      <c r="K22">
        <f>获奖信息!K22</f>
        <v>8680051</v>
      </c>
      <c r="L22">
        <f>获奖信息!L22</f>
        <v>0</v>
      </c>
      <c r="M22">
        <f>获奖信息!M22</f>
        <v>200</v>
      </c>
      <c r="N22">
        <f>获奖信息!N22</f>
        <v>1000</v>
      </c>
      <c r="O22">
        <f>获奖信息!O22</f>
        <v>0.30000000000000004</v>
      </c>
    </row>
    <row r="23" spans="1:15" x14ac:dyDescent="0.2">
      <c r="A23">
        <f>获奖信息!A23</f>
        <v>22</v>
      </c>
      <c r="B23">
        <f>获奖信息!B23</f>
        <v>45715</v>
      </c>
      <c r="C23" t="str">
        <f>获奖信息!C23</f>
        <v>品质保证科</v>
      </c>
      <c r="D23" t="str">
        <f>获奖信息!D23</f>
        <v>内部获奖</v>
      </c>
      <c r="E23" t="str">
        <f>获奖信息!E23</f>
        <v>工厂级QC发表获奖</v>
      </c>
      <c r="F23" t="str">
        <f>获奖信息!F23</f>
        <v>三等奖</v>
      </c>
      <c r="G23">
        <f>获奖信息!G23</f>
        <v>0</v>
      </c>
      <c r="H23" t="str">
        <f>获奖信息!H23</f>
        <v>否</v>
      </c>
      <c r="I23">
        <f>获奖信息!I23</f>
        <v>1.5</v>
      </c>
      <c r="J23" t="str">
        <f>获奖信息!J23</f>
        <v>于慧缘</v>
      </c>
      <c r="K23">
        <f>获奖信息!K23</f>
        <v>8673998</v>
      </c>
      <c r="L23">
        <f>获奖信息!L23</f>
        <v>0</v>
      </c>
      <c r="M23">
        <f>获奖信息!M23</f>
        <v>200</v>
      </c>
      <c r="N23">
        <f>获奖信息!N23</f>
        <v>1000</v>
      </c>
      <c r="O23">
        <f>获奖信息!O23</f>
        <v>0.30000000000000004</v>
      </c>
    </row>
    <row r="24" spans="1:15" x14ac:dyDescent="0.2">
      <c r="A24">
        <f>获奖信息!A24</f>
        <v>23</v>
      </c>
      <c r="B24">
        <f>获奖信息!B24</f>
        <v>45715</v>
      </c>
      <c r="C24" t="str">
        <f>获奖信息!C24</f>
        <v>品质保证科</v>
      </c>
      <c r="D24" t="str">
        <f>获奖信息!D24</f>
        <v>内部获奖</v>
      </c>
      <c r="E24" t="str">
        <f>获奖信息!E24</f>
        <v>工厂级QC发表获奖</v>
      </c>
      <c r="F24" t="str">
        <f>获奖信息!F24</f>
        <v>三等奖</v>
      </c>
      <c r="G24">
        <f>获奖信息!G24</f>
        <v>0</v>
      </c>
      <c r="H24" t="str">
        <f>获奖信息!H24</f>
        <v>否</v>
      </c>
      <c r="I24">
        <f>获奖信息!I24</f>
        <v>1.5</v>
      </c>
      <c r="J24" t="str">
        <f>获奖信息!J24</f>
        <v>刘鹏</v>
      </c>
      <c r="K24">
        <f>获奖信息!K24</f>
        <v>8685711</v>
      </c>
      <c r="L24">
        <f>获奖信息!L24</f>
        <v>0</v>
      </c>
      <c r="M24">
        <f>获奖信息!M24</f>
        <v>200</v>
      </c>
      <c r="N24">
        <f>获奖信息!N24</f>
        <v>1000</v>
      </c>
      <c r="O24">
        <f>获奖信息!O24</f>
        <v>0.30000000000000004</v>
      </c>
    </row>
    <row r="25" spans="1:15" x14ac:dyDescent="0.2">
      <c r="A25">
        <f>获奖信息!A25</f>
        <v>24</v>
      </c>
      <c r="B25">
        <f>获奖信息!B25</f>
        <v>45715</v>
      </c>
      <c r="C25" t="str">
        <f>获奖信息!C25</f>
        <v>品质保证科</v>
      </c>
      <c r="D25" t="str">
        <f>获奖信息!D25</f>
        <v>内部获奖</v>
      </c>
      <c r="E25" t="str">
        <f>获奖信息!E25</f>
        <v>工厂级QC发表获奖</v>
      </c>
      <c r="F25" t="str">
        <f>获奖信息!F25</f>
        <v>三等奖</v>
      </c>
      <c r="G25">
        <f>获奖信息!G25</f>
        <v>0</v>
      </c>
      <c r="H25" t="str">
        <f>获奖信息!H25</f>
        <v>否</v>
      </c>
      <c r="I25">
        <f>获奖信息!I25</f>
        <v>1.5</v>
      </c>
      <c r="J25" t="str">
        <f>获奖信息!J25</f>
        <v>李春扬</v>
      </c>
      <c r="K25">
        <f>获奖信息!K25</f>
        <v>8674452</v>
      </c>
      <c r="L25">
        <f>获奖信息!L25</f>
        <v>0</v>
      </c>
      <c r="M25">
        <f>获奖信息!M25</f>
        <v>200</v>
      </c>
      <c r="N25">
        <f>获奖信息!N25</f>
        <v>1000</v>
      </c>
      <c r="O25">
        <f>获奖信息!O25</f>
        <v>0.30000000000000004</v>
      </c>
    </row>
    <row r="26" spans="1:15" x14ac:dyDescent="0.2">
      <c r="A26">
        <f>获奖信息!A26</f>
        <v>25</v>
      </c>
      <c r="B26">
        <f>获奖信息!B26</f>
        <v>45715</v>
      </c>
      <c r="C26" t="str">
        <f>获奖信息!C26</f>
        <v>品质保证科</v>
      </c>
      <c r="D26" t="str">
        <f>获奖信息!D26</f>
        <v>内部获奖</v>
      </c>
      <c r="E26" t="str">
        <f>获奖信息!E26</f>
        <v>工厂级QC发表获奖</v>
      </c>
      <c r="F26" t="str">
        <f>获奖信息!F26</f>
        <v>三等奖</v>
      </c>
      <c r="G26">
        <f>获奖信息!G26</f>
        <v>0</v>
      </c>
      <c r="H26" t="str">
        <f>获奖信息!H26</f>
        <v>否</v>
      </c>
      <c r="I26">
        <f>获奖信息!I26</f>
        <v>1.5</v>
      </c>
      <c r="J26" t="str">
        <f>获奖信息!J26</f>
        <v>邹晓霞</v>
      </c>
      <c r="K26">
        <f>获奖信息!K26</f>
        <v>8682845</v>
      </c>
      <c r="L26">
        <f>获奖信息!L26</f>
        <v>0</v>
      </c>
      <c r="M26">
        <f>获奖信息!M26</f>
        <v>200</v>
      </c>
      <c r="N26">
        <f>获奖信息!N26</f>
        <v>1000</v>
      </c>
      <c r="O26">
        <f>获奖信息!O26</f>
        <v>0.30000000000000004</v>
      </c>
    </row>
    <row r="27" spans="1:15" x14ac:dyDescent="0.2">
      <c r="A27">
        <f>获奖信息!A27</f>
        <v>26</v>
      </c>
      <c r="B27">
        <f>获奖信息!B27</f>
        <v>45715</v>
      </c>
      <c r="C27" t="str">
        <f>获奖信息!C27</f>
        <v>总装科</v>
      </c>
      <c r="D27" t="str">
        <f>获奖信息!D27</f>
        <v>内部获奖</v>
      </c>
      <c r="E27" t="str">
        <f>获奖信息!E27</f>
        <v>工厂级QC发表获奖</v>
      </c>
      <c r="F27" t="str">
        <f>获奖信息!F27</f>
        <v>三等奖</v>
      </c>
      <c r="G27">
        <f>获奖信息!G27</f>
        <v>0</v>
      </c>
      <c r="H27" t="str">
        <f>获奖信息!H27</f>
        <v>否</v>
      </c>
      <c r="I27">
        <f>获奖信息!I27</f>
        <v>1.5</v>
      </c>
      <c r="J27" t="str">
        <f>获奖信息!J27</f>
        <v>纪圣洋</v>
      </c>
      <c r="K27">
        <f>获奖信息!K27</f>
        <v>8614160</v>
      </c>
      <c r="L27">
        <f>获奖信息!L27</f>
        <v>0</v>
      </c>
      <c r="M27">
        <f>获奖信息!M27</f>
        <v>100</v>
      </c>
      <c r="N27">
        <f>获奖信息!N27</f>
        <v>1000</v>
      </c>
      <c r="O27">
        <f>获奖信息!O27</f>
        <v>0.15000000000000002</v>
      </c>
    </row>
    <row r="28" spans="1:15" x14ac:dyDescent="0.2">
      <c r="A28">
        <f>获奖信息!A28</f>
        <v>27</v>
      </c>
      <c r="B28">
        <f>获奖信息!B28</f>
        <v>45715</v>
      </c>
      <c r="C28" t="str">
        <f>获奖信息!C28</f>
        <v>总装科</v>
      </c>
      <c r="D28" t="str">
        <f>获奖信息!D28</f>
        <v>内部获奖</v>
      </c>
      <c r="E28" t="str">
        <f>获奖信息!E28</f>
        <v>工厂级QC发表获奖</v>
      </c>
      <c r="F28" t="str">
        <f>获奖信息!F28</f>
        <v>三等奖</v>
      </c>
      <c r="G28">
        <f>获奖信息!G28</f>
        <v>0</v>
      </c>
      <c r="H28" t="str">
        <f>获奖信息!H28</f>
        <v>否</v>
      </c>
      <c r="I28">
        <f>获奖信息!I28</f>
        <v>1.5</v>
      </c>
      <c r="J28" t="str">
        <f>获奖信息!J28</f>
        <v>李传钰</v>
      </c>
      <c r="K28">
        <f>获奖信息!K28</f>
        <v>8683568</v>
      </c>
      <c r="L28">
        <f>获奖信息!L28</f>
        <v>0</v>
      </c>
      <c r="M28">
        <f>获奖信息!M28</f>
        <v>400</v>
      </c>
      <c r="N28">
        <f>获奖信息!N28</f>
        <v>1000</v>
      </c>
      <c r="O28">
        <f>获奖信息!O28</f>
        <v>0.60000000000000009</v>
      </c>
    </row>
    <row r="29" spans="1:15" x14ac:dyDescent="0.2">
      <c r="A29">
        <f>获奖信息!A29</f>
        <v>28</v>
      </c>
      <c r="B29">
        <f>获奖信息!B29</f>
        <v>45715</v>
      </c>
      <c r="C29" t="str">
        <f>获奖信息!C29</f>
        <v>总装科</v>
      </c>
      <c r="D29" t="str">
        <f>获奖信息!D29</f>
        <v>内部获奖</v>
      </c>
      <c r="E29" t="str">
        <f>获奖信息!E29</f>
        <v>工厂级QC发表获奖</v>
      </c>
      <c r="F29" t="str">
        <f>获奖信息!F29</f>
        <v>三等奖</v>
      </c>
      <c r="G29">
        <f>获奖信息!G29</f>
        <v>0</v>
      </c>
      <c r="H29" t="str">
        <f>获奖信息!H29</f>
        <v>否</v>
      </c>
      <c r="I29">
        <f>获奖信息!I29</f>
        <v>1.5</v>
      </c>
      <c r="J29" t="str">
        <f>获奖信息!J29</f>
        <v>邢若飞</v>
      </c>
      <c r="K29">
        <f>获奖信息!K29</f>
        <v>8676593</v>
      </c>
      <c r="L29">
        <f>获奖信息!L29</f>
        <v>0</v>
      </c>
      <c r="M29">
        <f>获奖信息!M29</f>
        <v>400</v>
      </c>
      <c r="N29">
        <f>获奖信息!N29</f>
        <v>1000</v>
      </c>
      <c r="O29">
        <f>获奖信息!O29</f>
        <v>0.60000000000000009</v>
      </c>
    </row>
    <row r="30" spans="1:15" x14ac:dyDescent="0.2">
      <c r="A30">
        <f>获奖信息!A30</f>
        <v>29</v>
      </c>
      <c r="B30">
        <f>获奖信息!B30</f>
        <v>45715</v>
      </c>
      <c r="C30" t="str">
        <f>获奖信息!C30</f>
        <v>技术科</v>
      </c>
      <c r="D30" t="str">
        <f>获奖信息!D30</f>
        <v>内部获奖</v>
      </c>
      <c r="E30" t="str">
        <f>获奖信息!E30</f>
        <v>工厂级QC发表获奖</v>
      </c>
      <c r="F30" t="str">
        <f>获奖信息!F30</f>
        <v>三等奖</v>
      </c>
      <c r="G30">
        <f>获奖信息!G30</f>
        <v>0</v>
      </c>
      <c r="H30" t="str">
        <f>获奖信息!H30</f>
        <v>否</v>
      </c>
      <c r="I30">
        <f>获奖信息!I30</f>
        <v>1.5</v>
      </c>
      <c r="J30" t="str">
        <f>获奖信息!J30</f>
        <v>张程</v>
      </c>
      <c r="K30">
        <f>获奖信息!K30</f>
        <v>8695305</v>
      </c>
      <c r="L30">
        <f>获奖信息!L30</f>
        <v>0</v>
      </c>
      <c r="M30">
        <f>获奖信息!M30</f>
        <v>50</v>
      </c>
      <c r="N30">
        <f>获奖信息!N30</f>
        <v>1000</v>
      </c>
      <c r="O30">
        <f>获奖信息!O30</f>
        <v>7.5000000000000011E-2</v>
      </c>
    </row>
    <row r="31" spans="1:15" x14ac:dyDescent="0.2">
      <c r="A31">
        <f>获奖信息!A31</f>
        <v>30</v>
      </c>
      <c r="B31">
        <f>获奖信息!B31</f>
        <v>45715</v>
      </c>
      <c r="C31" t="str">
        <f>获奖信息!C31</f>
        <v>总装科</v>
      </c>
      <c r="D31" t="str">
        <f>获奖信息!D31</f>
        <v>内部获奖</v>
      </c>
      <c r="E31" t="str">
        <f>获奖信息!E31</f>
        <v>工厂级QC发表获奖</v>
      </c>
      <c r="F31" t="str">
        <f>获奖信息!F31</f>
        <v>三等奖</v>
      </c>
      <c r="G31">
        <f>获奖信息!G31</f>
        <v>0</v>
      </c>
      <c r="H31" t="str">
        <f>获奖信息!H31</f>
        <v>否</v>
      </c>
      <c r="I31">
        <f>获奖信息!I31</f>
        <v>1.5</v>
      </c>
      <c r="J31" t="str">
        <f>获奖信息!J31</f>
        <v>李闯</v>
      </c>
      <c r="K31">
        <f>获奖信息!K31</f>
        <v>8683084</v>
      </c>
      <c r="L31">
        <f>获奖信息!L31</f>
        <v>0</v>
      </c>
      <c r="M31">
        <f>获奖信息!M31</f>
        <v>50</v>
      </c>
      <c r="N31">
        <f>获奖信息!N31</f>
        <v>1000</v>
      </c>
      <c r="O31">
        <f>获奖信息!O31</f>
        <v>7.5000000000000011E-2</v>
      </c>
    </row>
    <row r="32" spans="1:15" x14ac:dyDescent="0.2">
      <c r="A32">
        <f>获奖信息!A32</f>
        <v>31</v>
      </c>
      <c r="B32">
        <f>获奖信息!B32</f>
        <v>45720</v>
      </c>
      <c r="C32" t="str">
        <f>获奖信息!C32</f>
        <v>总装科</v>
      </c>
      <c r="D32" t="str">
        <f>获奖信息!D32</f>
        <v>内部获奖</v>
      </c>
      <c r="E32" t="str">
        <f>获奖信息!E32</f>
        <v>工厂级QC发表获奖</v>
      </c>
      <c r="F32" t="str">
        <f>获奖信息!F32</f>
        <v>一等奖</v>
      </c>
      <c r="G32">
        <f>获奖信息!G32</f>
        <v>0</v>
      </c>
      <c r="H32" t="str">
        <f>获奖信息!H32</f>
        <v>否</v>
      </c>
      <c r="I32">
        <f>获奖信息!I32</f>
        <v>2.5</v>
      </c>
      <c r="J32" t="str">
        <f>获奖信息!J32</f>
        <v>汲浩铭</v>
      </c>
      <c r="K32">
        <f>获奖信息!K32</f>
        <v>8674056</v>
      </c>
      <c r="L32" t="str">
        <f>获奖信息!L32</f>
        <v>数字化发表会</v>
      </c>
      <c r="M32">
        <f>获奖信息!M32</f>
        <v>600</v>
      </c>
      <c r="N32">
        <f>获奖信息!N32</f>
        <v>600</v>
      </c>
      <c r="O32">
        <f>获奖信息!O32</f>
        <v>2.5</v>
      </c>
    </row>
    <row r="33" spans="1:15" x14ac:dyDescent="0.2">
      <c r="A33">
        <f>获奖信息!A33</f>
        <v>32</v>
      </c>
      <c r="B33">
        <f>获奖信息!B33</f>
        <v>45720</v>
      </c>
      <c r="C33" t="str">
        <f>获奖信息!C33</f>
        <v>品质保证科</v>
      </c>
      <c r="D33" t="str">
        <f>获奖信息!D33</f>
        <v>内部获奖</v>
      </c>
      <c r="E33" t="str">
        <f>获奖信息!E33</f>
        <v>工厂级QC发表获奖</v>
      </c>
      <c r="F33" t="str">
        <f>获奖信息!F33</f>
        <v>二等奖</v>
      </c>
      <c r="G33">
        <f>获奖信息!G33</f>
        <v>0</v>
      </c>
      <c r="H33" t="str">
        <f>获奖信息!H33</f>
        <v>是</v>
      </c>
      <c r="I33">
        <f>获奖信息!I33</f>
        <v>2.5</v>
      </c>
      <c r="J33" t="str">
        <f>获奖信息!J33</f>
        <v>于慧缘</v>
      </c>
      <c r="K33">
        <f>获奖信息!K33</f>
        <v>8673998</v>
      </c>
      <c r="L33" t="str">
        <f>获奖信息!L33</f>
        <v>数字化发表会</v>
      </c>
      <c r="M33">
        <f>获奖信息!M33</f>
        <v>400</v>
      </c>
      <c r="N33">
        <f>获奖信息!N33</f>
        <v>400</v>
      </c>
      <c r="O33">
        <f>获奖信息!O33</f>
        <v>2.5</v>
      </c>
    </row>
    <row r="34" spans="1:15" x14ac:dyDescent="0.2">
      <c r="A34">
        <f>获奖信息!A34</f>
        <v>33</v>
      </c>
      <c r="B34">
        <f>获奖信息!B34</f>
        <v>45720</v>
      </c>
      <c r="C34" t="str">
        <f>获奖信息!C34</f>
        <v>品质保证科</v>
      </c>
      <c r="D34" t="str">
        <f>获奖信息!D34</f>
        <v>内部获奖</v>
      </c>
      <c r="E34" t="str">
        <f>获奖信息!E34</f>
        <v>工厂级QC发表获奖</v>
      </c>
      <c r="F34" t="str">
        <f>获奖信息!F34</f>
        <v>二等奖</v>
      </c>
      <c r="G34">
        <f>获奖信息!G34</f>
        <v>0</v>
      </c>
      <c r="H34" t="str">
        <f>获奖信息!H34</f>
        <v>否</v>
      </c>
      <c r="I34">
        <f>获奖信息!I34</f>
        <v>2</v>
      </c>
      <c r="J34" t="str">
        <f>获奖信息!J34</f>
        <v>殷丞君</v>
      </c>
      <c r="K34">
        <f>获奖信息!K34</f>
        <v>8722477</v>
      </c>
      <c r="L34" t="str">
        <f>获奖信息!L34</f>
        <v>数字化发表会</v>
      </c>
      <c r="M34">
        <f>获奖信息!M34</f>
        <v>400</v>
      </c>
      <c r="N34">
        <f>获奖信息!N34</f>
        <v>400</v>
      </c>
      <c r="O34">
        <f>获奖信息!O34</f>
        <v>2</v>
      </c>
    </row>
    <row r="35" spans="1:15" x14ac:dyDescent="0.2">
      <c r="A35">
        <f>获奖信息!A35</f>
        <v>34</v>
      </c>
      <c r="B35">
        <f>获奖信息!B35</f>
        <v>45720</v>
      </c>
      <c r="C35" t="str">
        <f>获奖信息!C35</f>
        <v>工业工程科</v>
      </c>
      <c r="D35" t="str">
        <f>获奖信息!D35</f>
        <v>内部获奖</v>
      </c>
      <c r="E35" t="str">
        <f>获奖信息!E35</f>
        <v>工厂级QC发表获奖</v>
      </c>
      <c r="F35" t="str">
        <f>获奖信息!F35</f>
        <v>三等奖</v>
      </c>
      <c r="G35">
        <f>获奖信息!G35</f>
        <v>0</v>
      </c>
      <c r="H35" t="str">
        <f>获奖信息!H35</f>
        <v>否</v>
      </c>
      <c r="I35">
        <f>获奖信息!I35</f>
        <v>1.5</v>
      </c>
      <c r="J35" t="str">
        <f>获奖信息!J35</f>
        <v>王晓冬</v>
      </c>
      <c r="K35">
        <f>获奖信息!K35</f>
        <v>8680291</v>
      </c>
      <c r="L35" t="str">
        <f>获奖信息!L35</f>
        <v>数字化发表会</v>
      </c>
      <c r="M35">
        <f>获奖信息!M35</f>
        <v>200</v>
      </c>
      <c r="N35">
        <f>获奖信息!N35</f>
        <v>200</v>
      </c>
      <c r="O35">
        <f>获奖信息!O35</f>
        <v>1.5</v>
      </c>
    </row>
    <row r="36" spans="1:15" x14ac:dyDescent="0.2">
      <c r="A36">
        <f>获奖信息!A36</f>
        <v>35</v>
      </c>
      <c r="B36">
        <f>获奖信息!B36</f>
        <v>45720</v>
      </c>
      <c r="C36" t="str">
        <f>获奖信息!C36</f>
        <v>大连财务科</v>
      </c>
      <c r="D36" t="str">
        <f>获奖信息!D36</f>
        <v>内部获奖</v>
      </c>
      <c r="E36" t="str">
        <f>获奖信息!E36</f>
        <v>工厂级QC发表获奖</v>
      </c>
      <c r="F36" t="str">
        <f>获奖信息!F36</f>
        <v>三等奖</v>
      </c>
      <c r="G36">
        <f>获奖信息!G36</f>
        <v>0</v>
      </c>
      <c r="H36" t="str">
        <f>获奖信息!H36</f>
        <v>否</v>
      </c>
      <c r="I36">
        <f>获奖信息!I36</f>
        <v>1.5</v>
      </c>
      <c r="J36" t="str">
        <f>获奖信息!J36</f>
        <v>纪舒沫</v>
      </c>
      <c r="K36">
        <f>获奖信息!K36</f>
        <v>8672926</v>
      </c>
      <c r="L36" t="str">
        <f>获奖信息!L36</f>
        <v>数字化发表会</v>
      </c>
      <c r="M36">
        <f>获奖信息!M36</f>
        <v>200</v>
      </c>
      <c r="N36">
        <f>获奖信息!N36</f>
        <v>200</v>
      </c>
      <c r="O36">
        <f>获奖信息!O36</f>
        <v>1.5</v>
      </c>
    </row>
    <row r="37" spans="1:15" x14ac:dyDescent="0.2">
      <c r="A37">
        <f>获奖信息!A37</f>
        <v>36</v>
      </c>
      <c r="B37">
        <f>获奖信息!B37</f>
        <v>45720</v>
      </c>
      <c r="C37" t="str">
        <f>获奖信息!C37</f>
        <v>冲焊科</v>
      </c>
      <c r="D37" t="str">
        <f>获奖信息!D37</f>
        <v>内部获奖</v>
      </c>
      <c r="E37" t="str">
        <f>获奖信息!E37</f>
        <v>工厂级QC发表获奖</v>
      </c>
      <c r="F37" t="str">
        <f>获奖信息!F37</f>
        <v>三等奖</v>
      </c>
      <c r="G37">
        <f>获奖信息!G37</f>
        <v>0</v>
      </c>
      <c r="H37" t="str">
        <f>获奖信息!H37</f>
        <v>否</v>
      </c>
      <c r="I37">
        <f>获奖信息!I37</f>
        <v>1.5</v>
      </c>
      <c r="J37" t="str">
        <f>获奖信息!J37</f>
        <v>宋畅</v>
      </c>
      <c r="K37">
        <f>获奖信息!K37</f>
        <v>8676591</v>
      </c>
      <c r="L37" t="str">
        <f>获奖信息!L37</f>
        <v>数字化发表会</v>
      </c>
      <c r="M37">
        <f>获奖信息!M37</f>
        <v>200</v>
      </c>
      <c r="N37">
        <f>获奖信息!N37</f>
        <v>200</v>
      </c>
      <c r="O37">
        <f>获奖信息!O37</f>
        <v>1.5</v>
      </c>
    </row>
    <row r="38" spans="1:15" x14ac:dyDescent="0.2">
      <c r="A38">
        <f>获奖信息!A38</f>
        <v>37</v>
      </c>
      <c r="B38">
        <f>获奖信息!B38</f>
        <v>45678</v>
      </c>
      <c r="C38" t="str">
        <f>获奖信息!C38</f>
        <v>设备动力科</v>
      </c>
      <c r="D38" t="str">
        <f>获奖信息!D38</f>
        <v>外部获奖</v>
      </c>
      <c r="E38" t="str">
        <f>获奖信息!E38</f>
        <v>DFN级/市级奖项</v>
      </c>
      <c r="F38" t="str">
        <f>获奖信息!F38</f>
        <v>一等奖</v>
      </c>
      <c r="G38">
        <f>获奖信息!G38</f>
        <v>0</v>
      </c>
      <c r="H38" t="str">
        <f>获奖信息!H38</f>
        <v>否</v>
      </c>
      <c r="I38">
        <f>获奖信息!I38</f>
        <v>3</v>
      </c>
      <c r="J38" t="str">
        <f>获奖信息!J38</f>
        <v>王瑞林</v>
      </c>
      <c r="K38">
        <f>获奖信息!K38</f>
        <v>8699083</v>
      </c>
      <c r="L38" t="str">
        <f>获奖信息!L38</f>
        <v>DFN数字化技能大赛</v>
      </c>
      <c r="M38">
        <f>获奖信息!M38</f>
        <v>1</v>
      </c>
      <c r="N38">
        <f>获奖信息!N38</f>
        <v>1</v>
      </c>
      <c r="O38">
        <f>获奖信息!O38</f>
        <v>3</v>
      </c>
    </row>
    <row r="39" spans="1:15" x14ac:dyDescent="0.2">
      <c r="A39">
        <f>获奖信息!A39</f>
        <v>38</v>
      </c>
      <c r="B39">
        <f>获奖信息!B39</f>
        <v>45658</v>
      </c>
      <c r="C39" t="str">
        <f>获奖信息!C39</f>
        <v>品质保证科</v>
      </c>
      <c r="D39" t="str">
        <f>获奖信息!D39</f>
        <v>外部获奖</v>
      </c>
      <c r="E39" t="str">
        <f>获奖信息!E39</f>
        <v>DFN级/市级奖项</v>
      </c>
      <c r="F39" t="str">
        <f>获奖信息!F39</f>
        <v>三等奖</v>
      </c>
      <c r="G39">
        <f>获奖信息!G39</f>
        <v>0</v>
      </c>
      <c r="H39" t="str">
        <f>获奖信息!H39</f>
        <v>否</v>
      </c>
      <c r="I39">
        <f>获奖信息!I39</f>
        <v>1</v>
      </c>
      <c r="J39" t="str">
        <f>获奖信息!J39</f>
        <v>乔传泉</v>
      </c>
      <c r="K39">
        <f>获奖信息!K39</f>
        <v>8687986</v>
      </c>
      <c r="L39" t="str">
        <f>获奖信息!L39</f>
        <v>2024年优秀质量体系重点课题</v>
      </c>
      <c r="M39">
        <f>获奖信息!M39</f>
        <v>1</v>
      </c>
      <c r="N39">
        <f>获奖信息!N39</f>
        <v>1</v>
      </c>
      <c r="O39">
        <f>获奖信息!O39</f>
        <v>1</v>
      </c>
    </row>
    <row r="40" spans="1:15" x14ac:dyDescent="0.2">
      <c r="A40">
        <f>获奖信息!A40</f>
        <v>39</v>
      </c>
      <c r="B40">
        <f>获奖信息!B40</f>
        <v>45689</v>
      </c>
      <c r="C40" t="str">
        <f>获奖信息!C40</f>
        <v>安技环保科</v>
      </c>
      <c r="D40" t="str">
        <f>获奖信息!D40</f>
        <v>外部获奖</v>
      </c>
      <c r="E40" t="str">
        <f>获奖信息!E40</f>
        <v>全国级/DFG级奖项</v>
      </c>
      <c r="F40" t="str">
        <f>获奖信息!F40</f>
        <v>综合奖项</v>
      </c>
      <c r="G40">
        <f>获奖信息!G40</f>
        <v>0</v>
      </c>
      <c r="H40" t="str">
        <f>获奖信息!H40</f>
        <v>否</v>
      </c>
      <c r="I40">
        <f>获奖信息!I40</f>
        <v>3</v>
      </c>
      <c r="J40" t="str">
        <f>获奖信息!J40</f>
        <v>谢天文</v>
      </c>
      <c r="K40">
        <f>获奖信息!K40</f>
        <v>8696816</v>
      </c>
      <c r="L40" t="str">
        <f>获奖信息!L40</f>
        <v>2024年企业绿色低碳发展优秀案例</v>
      </c>
      <c r="M40">
        <f>获奖信息!M40</f>
        <v>1</v>
      </c>
      <c r="N40">
        <f>获奖信息!N40</f>
        <v>1</v>
      </c>
      <c r="O40">
        <f>获奖信息!O40</f>
        <v>3</v>
      </c>
    </row>
    <row r="41" spans="1:15" x14ac:dyDescent="0.2">
      <c r="A41">
        <f>获奖信息!A41</f>
        <v>40</v>
      </c>
      <c r="B41">
        <f>获奖信息!B41</f>
        <v>45748</v>
      </c>
      <c r="C41" t="str">
        <f>获奖信息!C41</f>
        <v>技术科</v>
      </c>
      <c r="D41" t="str">
        <f>获奖信息!D41</f>
        <v>外部获奖</v>
      </c>
      <c r="E41" t="str">
        <f>获奖信息!E41</f>
        <v>全国级/DFG级奖项</v>
      </c>
      <c r="F41" t="str">
        <f>获奖信息!F41</f>
        <v>二等奖</v>
      </c>
      <c r="G41">
        <f>获奖信息!G41</f>
        <v>0</v>
      </c>
      <c r="H41" t="str">
        <f>获奖信息!H41</f>
        <v>否</v>
      </c>
      <c r="I41">
        <f>获奖信息!I41</f>
        <v>4</v>
      </c>
      <c r="J41" t="str">
        <f>获奖信息!J41</f>
        <v>马骥</v>
      </c>
      <c r="K41">
        <f>获奖信息!K41</f>
        <v>8683930</v>
      </c>
      <c r="L41" t="str">
        <f>获奖信息!L41</f>
        <v>全国机械冶金建材行业职工技术创新成果</v>
      </c>
      <c r="M41">
        <f>获奖信息!M41</f>
        <v>1</v>
      </c>
      <c r="N41">
        <f>获奖信息!N41</f>
        <v>1</v>
      </c>
      <c r="O41">
        <f>获奖信息!O41</f>
        <v>4</v>
      </c>
    </row>
    <row r="42" spans="1:15" x14ac:dyDescent="0.2">
      <c r="A42">
        <f>获奖信息!A42</f>
        <v>41</v>
      </c>
      <c r="B42">
        <f>获奖信息!B42</f>
        <v>45748</v>
      </c>
      <c r="C42" t="str">
        <f>获奖信息!C42</f>
        <v>工业工程科</v>
      </c>
      <c r="D42" t="str">
        <f>获奖信息!D42</f>
        <v>外部获奖</v>
      </c>
      <c r="E42" t="str">
        <f>获奖信息!E42</f>
        <v>全国级/DFG级奖项</v>
      </c>
      <c r="F42" t="str">
        <f>获奖信息!F42</f>
        <v>三等奖</v>
      </c>
      <c r="G42">
        <f>获奖信息!G42</f>
        <v>0</v>
      </c>
      <c r="H42" t="str">
        <f>获奖信息!H42</f>
        <v>否</v>
      </c>
      <c r="I42">
        <f>获奖信息!I42</f>
        <v>3</v>
      </c>
      <c r="J42" t="str">
        <f>获奖信息!J42</f>
        <v>宋伟</v>
      </c>
      <c r="K42">
        <f>获奖信息!K42</f>
        <v>8680603</v>
      </c>
      <c r="L42" t="str">
        <f>获奖信息!L42</f>
        <v>全国机械冶金建材行业职工技术创新成果</v>
      </c>
      <c r="M42">
        <f>获奖信息!M42</f>
        <v>1</v>
      </c>
      <c r="N42">
        <f>获奖信息!N42</f>
        <v>1</v>
      </c>
      <c r="O42">
        <f>获奖信息!O42</f>
        <v>3</v>
      </c>
    </row>
    <row r="43" spans="1:15" x14ac:dyDescent="0.2">
      <c r="A43">
        <f>获奖信息!A43</f>
        <v>42</v>
      </c>
      <c r="B43">
        <f>获奖信息!B43</f>
        <v>45748</v>
      </c>
      <c r="C43" t="str">
        <f>获奖信息!C43</f>
        <v>设备动力科</v>
      </c>
      <c r="D43" t="str">
        <f>获奖信息!D43</f>
        <v>外部获奖</v>
      </c>
      <c r="E43" t="str">
        <f>获奖信息!E43</f>
        <v>全国级/DFG级奖项</v>
      </c>
      <c r="F43" t="str">
        <f>获奖信息!F43</f>
        <v>综合奖项</v>
      </c>
      <c r="G43">
        <f>获奖信息!G43</f>
        <v>0</v>
      </c>
      <c r="H43" t="str">
        <f>获奖信息!H43</f>
        <v>否</v>
      </c>
      <c r="I43">
        <f>获奖信息!I43</f>
        <v>3</v>
      </c>
      <c r="J43" t="str">
        <f>获奖信息!J43</f>
        <v>丁友贺</v>
      </c>
      <c r="K43">
        <f>获奖信息!K43</f>
        <v>8615446</v>
      </c>
      <c r="L43" t="str">
        <f>获奖信息!L43</f>
        <v>东风最佳实践课题获奖</v>
      </c>
      <c r="M43">
        <f>获奖信息!M43</f>
        <v>1</v>
      </c>
      <c r="N43">
        <f>获奖信息!N43</f>
        <v>1</v>
      </c>
      <c r="O43">
        <f>获奖信息!O43</f>
        <v>3</v>
      </c>
    </row>
    <row r="44" spans="1:15" x14ac:dyDescent="0.2">
      <c r="A44">
        <f>获奖信息!A44</f>
        <v>43</v>
      </c>
      <c r="B44">
        <f>获奖信息!B44</f>
        <v>45783</v>
      </c>
      <c r="C44" t="str">
        <f>获奖信息!C44</f>
        <v>工业工程科</v>
      </c>
      <c r="D44" t="str">
        <f>获奖信息!D44</f>
        <v>内部获奖</v>
      </c>
      <c r="E44" t="str">
        <f>获奖信息!E44</f>
        <v>数字化课题开发</v>
      </c>
      <c r="F44" t="str">
        <f>获奖信息!F44</f>
        <v>重点课题</v>
      </c>
      <c r="G44" t="str">
        <f>获奖信息!G44</f>
        <v>商品车是否订单车自动解析</v>
      </c>
      <c r="H44" t="str">
        <f>获奖信息!H44</f>
        <v>是</v>
      </c>
      <c r="I44">
        <f>获奖信息!I44</f>
        <v>2.5</v>
      </c>
      <c r="J44" t="str">
        <f>获奖信息!J44</f>
        <v>宋伟</v>
      </c>
      <c r="K44">
        <f>获奖信息!K44</f>
        <v>8680603</v>
      </c>
      <c r="L44">
        <f>获奖信息!L44</f>
        <v>0</v>
      </c>
      <c r="M44">
        <f>获奖信息!M44</f>
        <v>1</v>
      </c>
      <c r="N44">
        <f>获奖信息!N44</f>
        <v>1</v>
      </c>
      <c r="O44">
        <f>获奖信息!O44</f>
        <v>2.5</v>
      </c>
    </row>
    <row r="45" spans="1:15" x14ac:dyDescent="0.2">
      <c r="A45">
        <f>获奖信息!A45</f>
        <v>44</v>
      </c>
      <c r="B45">
        <f>获奖信息!B45</f>
        <v>45783</v>
      </c>
      <c r="C45" t="str">
        <f>获奖信息!C45</f>
        <v>涂树科</v>
      </c>
      <c r="D45" t="str">
        <f>获奖信息!D45</f>
        <v>内部获奖</v>
      </c>
      <c r="E45" t="str">
        <f>获奖信息!E45</f>
        <v>数字化课题开发</v>
      </c>
      <c r="F45" t="str">
        <f>获奖信息!F45</f>
        <v>普通课题</v>
      </c>
      <c r="G45" t="str">
        <f>获奖信息!G45</f>
        <v>科室单台成本动态管控可视化</v>
      </c>
      <c r="H45" t="str">
        <f>获奖信息!H45</f>
        <v>是</v>
      </c>
      <c r="I45">
        <f>获奖信息!I45</f>
        <v>1.5</v>
      </c>
      <c r="J45" t="str">
        <f>获奖信息!J45</f>
        <v>纪明达</v>
      </c>
      <c r="K45">
        <f>获奖信息!K45</f>
        <v>8683064</v>
      </c>
      <c r="L45">
        <f>获奖信息!L45</f>
        <v>0</v>
      </c>
      <c r="M45">
        <f>获奖信息!M45</f>
        <v>1</v>
      </c>
      <c r="N45">
        <f>获奖信息!N45</f>
        <v>1</v>
      </c>
      <c r="O45">
        <f>获奖信息!O45</f>
        <v>1.5</v>
      </c>
    </row>
    <row r="46" spans="1:15" x14ac:dyDescent="0.2">
      <c r="A46">
        <f>获奖信息!A46</f>
        <v>45</v>
      </c>
      <c r="B46">
        <f>获奖信息!B46</f>
        <v>45783</v>
      </c>
      <c r="C46" t="str">
        <f>获奖信息!C46</f>
        <v>工业工程科</v>
      </c>
      <c r="D46" t="str">
        <f>获奖信息!D46</f>
        <v>内部获奖</v>
      </c>
      <c r="E46" t="str">
        <f>获奖信息!E46</f>
        <v>数字化课题开发</v>
      </c>
      <c r="F46" t="str">
        <f>获奖信息!F46</f>
        <v>重点课题</v>
      </c>
      <c r="G46" t="str">
        <f>获奖信息!G46</f>
        <v>计划与实际出勤每日对比分析</v>
      </c>
      <c r="H46" t="str">
        <f>获奖信息!H46</f>
        <v>否</v>
      </c>
      <c r="I46">
        <f>获奖信息!I46</f>
        <v>2</v>
      </c>
      <c r="J46" t="str">
        <f>获奖信息!J46</f>
        <v>吴广超</v>
      </c>
      <c r="K46">
        <f>获奖信息!K46</f>
        <v>8687765</v>
      </c>
      <c r="L46">
        <f>获奖信息!L46</f>
        <v>0</v>
      </c>
      <c r="M46">
        <f>获奖信息!M46</f>
        <v>1</v>
      </c>
      <c r="N46">
        <f>获奖信息!N46</f>
        <v>1</v>
      </c>
      <c r="O46">
        <f>获奖信息!O46</f>
        <v>2</v>
      </c>
    </row>
    <row r="47" spans="1:15" x14ac:dyDescent="0.2">
      <c r="A47">
        <f>获奖信息!A47</f>
        <v>46</v>
      </c>
      <c r="B47">
        <f>获奖信息!B47</f>
        <v>45783</v>
      </c>
      <c r="C47" t="str">
        <f>获奖信息!C47</f>
        <v>工业工程科</v>
      </c>
      <c r="D47" t="str">
        <f>获奖信息!D47</f>
        <v>内部获奖</v>
      </c>
      <c r="E47" t="str">
        <f>获奖信息!E47</f>
        <v>数字化课题开发</v>
      </c>
      <c r="F47" t="str">
        <f>获奖信息!F47</f>
        <v>普通课题</v>
      </c>
      <c r="G47" t="str">
        <f>获奖信息!G47</f>
        <v>昨日出勤差异解析自动提醒</v>
      </c>
      <c r="H47" t="str">
        <f>获奖信息!H47</f>
        <v>否</v>
      </c>
      <c r="I47">
        <f>获奖信息!I47</f>
        <v>1</v>
      </c>
      <c r="J47" t="str">
        <f>获奖信息!J47</f>
        <v>吴广超</v>
      </c>
      <c r="K47">
        <f>获奖信息!K47</f>
        <v>8687765</v>
      </c>
      <c r="L47">
        <f>获奖信息!L47</f>
        <v>0</v>
      </c>
      <c r="M47">
        <f>获奖信息!M47</f>
        <v>1</v>
      </c>
      <c r="N47">
        <f>获奖信息!N47</f>
        <v>1</v>
      </c>
      <c r="O47">
        <f>获奖信息!O47</f>
        <v>1</v>
      </c>
    </row>
    <row r="48" spans="1:15" x14ac:dyDescent="0.2">
      <c r="A48">
        <f>获奖信息!A48</f>
        <v>47</v>
      </c>
      <c r="B48">
        <f>获奖信息!B48</f>
        <v>45783</v>
      </c>
      <c r="C48" t="str">
        <f>获奖信息!C48</f>
        <v>工业工程科</v>
      </c>
      <c r="D48" t="str">
        <f>获奖信息!D48</f>
        <v>内部获奖</v>
      </c>
      <c r="E48" t="str">
        <f>获奖信息!E48</f>
        <v>数字化课题开发</v>
      </c>
      <c r="F48" t="str">
        <f>获奖信息!F48</f>
        <v>重点课题</v>
      </c>
      <c r="G48" t="str">
        <f>获奖信息!G48</f>
        <v>工时与考勤管理看板</v>
      </c>
      <c r="H48" t="str">
        <f>获奖信息!H48</f>
        <v>否</v>
      </c>
      <c r="I48">
        <f>获奖信息!I48</f>
        <v>2</v>
      </c>
      <c r="J48" t="str">
        <f>获奖信息!J48</f>
        <v>王晓冬</v>
      </c>
      <c r="K48">
        <f>获奖信息!K48</f>
        <v>8680291</v>
      </c>
      <c r="L48">
        <f>获奖信息!L48</f>
        <v>0</v>
      </c>
      <c r="M48">
        <f>获奖信息!M48</f>
        <v>1</v>
      </c>
      <c r="N48">
        <f>获奖信息!N48</f>
        <v>1</v>
      </c>
      <c r="O48">
        <f>获奖信息!O48</f>
        <v>2</v>
      </c>
    </row>
    <row r="49" spans="1:15" x14ac:dyDescent="0.2">
      <c r="A49">
        <f>获奖信息!A49</f>
        <v>48</v>
      </c>
      <c r="B49">
        <f>获奖信息!B49</f>
        <v>45783</v>
      </c>
      <c r="C49" t="str">
        <f>获奖信息!C49</f>
        <v>工业工程科</v>
      </c>
      <c r="D49" t="str">
        <f>获奖信息!D49</f>
        <v>内部获奖</v>
      </c>
      <c r="E49" t="str">
        <f>获奖信息!E49</f>
        <v>数字化课题开发</v>
      </c>
      <c r="F49" t="str">
        <f>获奖信息!F49</f>
        <v>普通课题</v>
      </c>
      <c r="G49" t="str">
        <f>获奖信息!G49</f>
        <v>精益工厂看板</v>
      </c>
      <c r="H49" t="str">
        <f>获奖信息!H49</f>
        <v>否</v>
      </c>
      <c r="I49">
        <f>获奖信息!I49</f>
        <v>1</v>
      </c>
      <c r="J49" t="str">
        <f>获奖信息!J49</f>
        <v>王晓冬</v>
      </c>
      <c r="K49">
        <f>获奖信息!K49</f>
        <v>8680291</v>
      </c>
      <c r="L49">
        <f>获奖信息!L49</f>
        <v>0</v>
      </c>
      <c r="M49">
        <f>获奖信息!M49</f>
        <v>1</v>
      </c>
      <c r="N49">
        <f>获奖信息!N49</f>
        <v>1</v>
      </c>
      <c r="O49">
        <f>获奖信息!O49</f>
        <v>1</v>
      </c>
    </row>
    <row r="50" spans="1:15" x14ac:dyDescent="0.2">
      <c r="A50">
        <f>获奖信息!A50</f>
        <v>49</v>
      </c>
      <c r="B50">
        <f>获奖信息!B50</f>
        <v>45783</v>
      </c>
      <c r="C50" t="str">
        <f>获奖信息!C50</f>
        <v>设备动力科</v>
      </c>
      <c r="D50" t="str">
        <f>获奖信息!D50</f>
        <v>内部获奖</v>
      </c>
      <c r="E50" t="str">
        <f>获奖信息!E50</f>
        <v>数字化课题开发</v>
      </c>
      <c r="F50" t="str">
        <f>获奖信息!F50</f>
        <v>普通课题</v>
      </c>
      <c r="G50" t="str">
        <f>获奖信息!G50</f>
        <v>冲压模具异常处理数字化看板</v>
      </c>
      <c r="H50" t="str">
        <f>获奖信息!H50</f>
        <v>是</v>
      </c>
      <c r="I50">
        <f>获奖信息!I50</f>
        <v>1.5</v>
      </c>
      <c r="J50" t="str">
        <f>获奖信息!J50</f>
        <v>冷洪来</v>
      </c>
      <c r="K50">
        <f>获奖信息!K50</f>
        <v>8674034</v>
      </c>
      <c r="L50">
        <f>获奖信息!L50</f>
        <v>0</v>
      </c>
      <c r="M50">
        <f>获奖信息!M50</f>
        <v>1</v>
      </c>
      <c r="N50">
        <f>获奖信息!N50</f>
        <v>1</v>
      </c>
      <c r="O50">
        <f>获奖信息!O50</f>
        <v>1.5</v>
      </c>
    </row>
    <row r="51" spans="1:15" x14ac:dyDescent="0.2">
      <c r="A51">
        <f>获奖信息!A51</f>
        <v>50</v>
      </c>
      <c r="B51">
        <f>获奖信息!B51</f>
        <v>45783</v>
      </c>
      <c r="C51" t="str">
        <f>获奖信息!C51</f>
        <v>生产管理科</v>
      </c>
      <c r="D51" t="str">
        <f>获奖信息!D51</f>
        <v>内部获奖</v>
      </c>
      <c r="E51" t="str">
        <f>获奖信息!E51</f>
        <v>数字化课题开发</v>
      </c>
      <c r="F51" t="str">
        <f>获奖信息!F51</f>
        <v>重点课题</v>
      </c>
      <c r="G51" t="str">
        <f>获奖信息!G51</f>
        <v>时段生产实绩信息发布自动化</v>
      </c>
      <c r="H51" t="str">
        <f>获奖信息!H51</f>
        <v>是</v>
      </c>
      <c r="I51">
        <f>获奖信息!I51</f>
        <v>2.5</v>
      </c>
      <c r="J51" t="str">
        <f>获奖信息!J51</f>
        <v>祝益盛</v>
      </c>
      <c r="K51">
        <f>获奖信息!K51</f>
        <v>8675741</v>
      </c>
      <c r="L51">
        <f>获奖信息!L51</f>
        <v>0</v>
      </c>
      <c r="M51">
        <f>获奖信息!M51</f>
        <v>1</v>
      </c>
      <c r="N51">
        <f>获奖信息!N51</f>
        <v>1</v>
      </c>
      <c r="O51">
        <f>获奖信息!O51</f>
        <v>2.5</v>
      </c>
    </row>
    <row r="52" spans="1:15" x14ac:dyDescent="0.2">
      <c r="A52">
        <f>获奖信息!A75</f>
        <v>74</v>
      </c>
      <c r="B52">
        <f>获奖信息!B75</f>
        <v>45870</v>
      </c>
      <c r="C52" t="str">
        <f>获奖信息!C75</f>
        <v>综合管理科</v>
      </c>
      <c r="D52" t="str">
        <f>获奖信息!D75</f>
        <v>内部获奖</v>
      </c>
      <c r="E52" t="str">
        <f>获奖信息!E75</f>
        <v>数字化课题开发</v>
      </c>
      <c r="F52" t="str">
        <f>获奖信息!F75</f>
        <v>重点课题</v>
      </c>
      <c r="G52" t="str">
        <f>获奖信息!G75</f>
        <v>离职解除证明的用章申请</v>
      </c>
      <c r="H52" t="str">
        <f>获奖信息!H75</f>
        <v>是</v>
      </c>
      <c r="I52">
        <f>获奖信息!I75</f>
        <v>2.5</v>
      </c>
      <c r="J52" t="str">
        <f>获奖信息!J75</f>
        <v>柳菁</v>
      </c>
      <c r="K52">
        <f>获奖信息!K75</f>
        <v>8682839</v>
      </c>
      <c r="L52">
        <f>获奖信息!L75</f>
        <v>0</v>
      </c>
      <c r="M52">
        <f>获奖信息!M75</f>
        <v>1</v>
      </c>
      <c r="N52">
        <f>获奖信息!N75</f>
        <v>1</v>
      </c>
      <c r="O52">
        <f>获奖信息!O75</f>
        <v>2.5</v>
      </c>
    </row>
    <row r="53" spans="1:15" x14ac:dyDescent="0.2">
      <c r="A53" t="e">
        <f>获奖信息!#REF!</f>
        <v>#REF!</v>
      </c>
      <c r="B53" t="e">
        <f>获奖信息!#REF!</f>
        <v>#REF!</v>
      </c>
      <c r="C53" t="e">
        <f>获奖信息!#REF!</f>
        <v>#REF!</v>
      </c>
      <c r="D53" t="e">
        <f>获奖信息!#REF!</f>
        <v>#REF!</v>
      </c>
      <c r="E53" t="e">
        <f>获奖信息!#REF!</f>
        <v>#REF!</v>
      </c>
      <c r="F53" t="e">
        <f>获奖信息!#REF!</f>
        <v>#REF!</v>
      </c>
      <c r="G53" t="e">
        <f>获奖信息!#REF!</f>
        <v>#REF!</v>
      </c>
      <c r="H53" t="e">
        <f>获奖信息!#REF!</f>
        <v>#REF!</v>
      </c>
      <c r="I53" t="e">
        <f>获奖信息!#REF!</f>
        <v>#REF!</v>
      </c>
      <c r="J53" t="e">
        <f>获奖信息!#REF!</f>
        <v>#REF!</v>
      </c>
      <c r="K53" t="e">
        <f>获奖信息!#REF!</f>
        <v>#REF!</v>
      </c>
      <c r="L53" t="e">
        <f>获奖信息!#REF!</f>
        <v>#REF!</v>
      </c>
      <c r="M53" t="e">
        <f>获奖信息!#REF!</f>
        <v>#REF!</v>
      </c>
      <c r="N53" t="e">
        <f>获奖信息!#REF!</f>
        <v>#REF!</v>
      </c>
      <c r="O53" t="e">
        <f>获奖信息!#REF!</f>
        <v>#REF!</v>
      </c>
    </row>
    <row r="54" spans="1:15" x14ac:dyDescent="0.2">
      <c r="A54">
        <f>获奖信息!A52</f>
        <v>51</v>
      </c>
      <c r="B54">
        <f>获奖信息!B52</f>
        <v>45821</v>
      </c>
      <c r="C54" t="str">
        <f>获奖信息!C52</f>
        <v>涂树科</v>
      </c>
      <c r="D54" t="str">
        <f>获奖信息!D52</f>
        <v>内部获奖</v>
      </c>
      <c r="E54" t="str">
        <f>获奖信息!E52</f>
        <v>改善功夫发表获奖</v>
      </c>
      <c r="F54" t="str">
        <f>获奖信息!F52</f>
        <v>一等奖</v>
      </c>
      <c r="G54" t="str">
        <f>获奖信息!G52</f>
        <v>前处理脱脂产生含油废水递减改善</v>
      </c>
      <c r="H54" t="str">
        <f>获奖信息!H52</f>
        <v>否</v>
      </c>
      <c r="I54">
        <f>获奖信息!I52</f>
        <v>1.5</v>
      </c>
      <c r="J54" t="str">
        <f>获奖信息!J52</f>
        <v>鲍德宇</v>
      </c>
      <c r="K54">
        <f>获奖信息!K52</f>
        <v>8676671</v>
      </c>
      <c r="L54" t="str">
        <f>获奖信息!L52</f>
        <v>Q/T/S专业级QC</v>
      </c>
      <c r="M54">
        <f>获奖信息!M52</f>
        <v>1</v>
      </c>
      <c r="N54">
        <f>获奖信息!N52</f>
        <v>1</v>
      </c>
      <c r="O54">
        <f>获奖信息!O52</f>
        <v>1.5</v>
      </c>
    </row>
    <row r="55" spans="1:15" x14ac:dyDescent="0.2">
      <c r="A55">
        <f>获奖信息!A53</f>
        <v>52</v>
      </c>
      <c r="B55">
        <f>获奖信息!B53</f>
        <v>45821</v>
      </c>
      <c r="C55" t="str">
        <f>获奖信息!C53</f>
        <v>设备动力科</v>
      </c>
      <c r="D55" t="str">
        <f>获奖信息!D53</f>
        <v>内部获奖</v>
      </c>
      <c r="E55" t="str">
        <f>获奖信息!E53</f>
        <v>改善功夫发表获奖</v>
      </c>
      <c r="F55" t="str">
        <f>获奖信息!F53</f>
        <v>一等奖</v>
      </c>
      <c r="G55" t="str">
        <f>获奖信息!G53</f>
        <v>天车动作系统视觉监控系统改善</v>
      </c>
      <c r="H55" t="str">
        <f>获奖信息!H53</f>
        <v>否</v>
      </c>
      <c r="I55">
        <f>获奖信息!I53</f>
        <v>1.5</v>
      </c>
      <c r="J55" t="str">
        <f>获奖信息!J53</f>
        <v>谭帅</v>
      </c>
      <c r="K55">
        <f>获奖信息!K53</f>
        <v>8674014</v>
      </c>
      <c r="L55" t="str">
        <f>获奖信息!L53</f>
        <v>Q/T/S专业级QC</v>
      </c>
      <c r="M55">
        <f>获奖信息!M53</f>
        <v>1</v>
      </c>
      <c r="N55">
        <f>获奖信息!N53</f>
        <v>1</v>
      </c>
      <c r="O55">
        <f>获奖信息!O53</f>
        <v>1.5</v>
      </c>
    </row>
    <row r="56" spans="1:15" x14ac:dyDescent="0.2">
      <c r="A56">
        <f>获奖信息!A54</f>
        <v>53</v>
      </c>
      <c r="B56">
        <f>获奖信息!B54</f>
        <v>45821</v>
      </c>
      <c r="C56" t="str">
        <f>获奖信息!C54</f>
        <v>品质保证科</v>
      </c>
      <c r="D56" t="str">
        <f>获奖信息!D54</f>
        <v>内部获奖</v>
      </c>
      <c r="E56" t="str">
        <f>获奖信息!E54</f>
        <v>改善功夫发表获奖</v>
      </c>
      <c r="F56" t="str">
        <f>获奖信息!F54</f>
        <v>二等奖</v>
      </c>
      <c r="G56" t="str">
        <f>获奖信息!G54</f>
        <v>零化AVM品质流出风险</v>
      </c>
      <c r="H56" t="str">
        <f>获奖信息!H54</f>
        <v>否</v>
      </c>
      <c r="I56">
        <f>获奖信息!I54</f>
        <v>1</v>
      </c>
      <c r="J56" t="str">
        <f>获奖信息!J54</f>
        <v>马长亮</v>
      </c>
      <c r="K56">
        <f>获奖信息!K54</f>
        <v>8613616</v>
      </c>
      <c r="L56" t="str">
        <f>获奖信息!L54</f>
        <v>Q/T/S专业级QC</v>
      </c>
      <c r="M56">
        <f>获奖信息!M54</f>
        <v>1</v>
      </c>
      <c r="N56">
        <f>获奖信息!N54</f>
        <v>1</v>
      </c>
      <c r="O56">
        <f>获奖信息!O54</f>
        <v>1</v>
      </c>
    </row>
    <row r="57" spans="1:15" x14ac:dyDescent="0.2">
      <c r="A57">
        <f>获奖信息!A55</f>
        <v>54</v>
      </c>
      <c r="B57">
        <f>获奖信息!B55</f>
        <v>45821</v>
      </c>
      <c r="C57" t="str">
        <f>获奖信息!C55</f>
        <v>设备动力科</v>
      </c>
      <c r="D57" t="str">
        <f>获奖信息!D55</f>
        <v>内部获奖</v>
      </c>
      <c r="E57" t="str">
        <f>获奖信息!E55</f>
        <v>改善功夫发表获奖</v>
      </c>
      <c r="F57" t="str">
        <f>获奖信息!F55</f>
        <v>二等奖</v>
      </c>
      <c r="G57" t="str">
        <f>获奖信息!G55</f>
        <v>非生产时间段综合站房用电量递减</v>
      </c>
      <c r="H57" t="str">
        <f>获奖信息!H55</f>
        <v>否</v>
      </c>
      <c r="I57">
        <f>获奖信息!I55</f>
        <v>1</v>
      </c>
      <c r="J57" t="str">
        <f>获奖信息!J55</f>
        <v>曹洪志</v>
      </c>
      <c r="K57">
        <f>获奖信息!K55</f>
        <v>8630191</v>
      </c>
      <c r="L57" t="str">
        <f>获奖信息!L55</f>
        <v>Q/T/S专业级QC</v>
      </c>
      <c r="M57">
        <f>获奖信息!M55</f>
        <v>1</v>
      </c>
      <c r="N57">
        <f>获奖信息!N55</f>
        <v>1</v>
      </c>
      <c r="O57">
        <f>获奖信息!O55</f>
        <v>1</v>
      </c>
    </row>
    <row r="58" spans="1:15" x14ac:dyDescent="0.2">
      <c r="A58">
        <f>获奖信息!A56</f>
        <v>55</v>
      </c>
      <c r="B58">
        <f>获奖信息!B56</f>
        <v>45821</v>
      </c>
      <c r="C58" t="str">
        <f>获奖信息!C56</f>
        <v>冲焊科</v>
      </c>
      <c r="D58" t="str">
        <f>获奖信息!D56</f>
        <v>内部获奖</v>
      </c>
      <c r="E58" t="str">
        <f>获奖信息!E56</f>
        <v>改善功夫发表获奖</v>
      </c>
      <c r="F58" t="str">
        <f>获奖信息!F56</f>
        <v>二等奖</v>
      </c>
      <c r="G58" t="str">
        <f>获奖信息!G56</f>
        <v>焊装科稼动率提升报告</v>
      </c>
      <c r="H58" t="str">
        <f>获奖信息!H56</f>
        <v>否</v>
      </c>
      <c r="I58">
        <f>获奖信息!I56</f>
        <v>1</v>
      </c>
      <c r="J58" t="str">
        <f>获奖信息!J56</f>
        <v>王琰</v>
      </c>
      <c r="K58">
        <f>获奖信息!K56</f>
        <v>8614408</v>
      </c>
      <c r="L58" t="str">
        <f>获奖信息!L56</f>
        <v>Q/T/S专业级QC</v>
      </c>
      <c r="M58">
        <f>获奖信息!M56</f>
        <v>1</v>
      </c>
      <c r="N58">
        <f>获奖信息!N56</f>
        <v>1</v>
      </c>
      <c r="O58">
        <f>获奖信息!O56</f>
        <v>1</v>
      </c>
    </row>
    <row r="59" spans="1:15" x14ac:dyDescent="0.2">
      <c r="A59">
        <f>获奖信息!A57</f>
        <v>56</v>
      </c>
      <c r="B59">
        <f>获奖信息!B57</f>
        <v>45821</v>
      </c>
      <c r="C59" t="str">
        <f>获奖信息!C57</f>
        <v>大连部品科</v>
      </c>
      <c r="D59" t="str">
        <f>获奖信息!D57</f>
        <v>内部获奖</v>
      </c>
      <c r="E59" t="str">
        <f>获奖信息!E57</f>
        <v>改善功夫发表获奖</v>
      </c>
      <c r="F59" t="str">
        <f>获奖信息!F57</f>
        <v>二等奖</v>
      </c>
      <c r="G59" t="str">
        <f>获奖信息!G57</f>
        <v>P32S SASH流痕改善</v>
      </c>
      <c r="H59" t="str">
        <f>获奖信息!H57</f>
        <v>否</v>
      </c>
      <c r="I59">
        <f>获奖信息!I57</f>
        <v>1</v>
      </c>
      <c r="J59" t="str">
        <f>获奖信息!J57</f>
        <v>张奎</v>
      </c>
      <c r="K59">
        <f>获奖信息!K57</f>
        <v>8721934</v>
      </c>
      <c r="L59" t="str">
        <f>获奖信息!L57</f>
        <v>Q/T/S专业级QC</v>
      </c>
      <c r="M59">
        <f>获奖信息!M57</f>
        <v>1</v>
      </c>
      <c r="N59">
        <f>获奖信息!N57</f>
        <v>1</v>
      </c>
      <c r="O59">
        <f>获奖信息!O57</f>
        <v>1</v>
      </c>
    </row>
    <row r="60" spans="1:15" x14ac:dyDescent="0.2">
      <c r="A60">
        <f>获奖信息!A58</f>
        <v>57</v>
      </c>
      <c r="B60">
        <f>获奖信息!B58</f>
        <v>45821</v>
      </c>
      <c r="C60" t="str">
        <f>获奖信息!C58</f>
        <v>总装科</v>
      </c>
      <c r="D60" t="str">
        <f>获奖信息!D58</f>
        <v>内部获奖</v>
      </c>
      <c r="E60" t="str">
        <f>获奖信息!E58</f>
        <v>改善功夫发表获奖</v>
      </c>
      <c r="F60" t="str">
        <f>获奖信息!F58</f>
        <v>三等奖</v>
      </c>
      <c r="G60" t="str">
        <f>获奖信息!G58</f>
        <v>零化P32S MC-R前档VIN码偏下</v>
      </c>
      <c r="H60" t="str">
        <f>获奖信息!H58</f>
        <v>否</v>
      </c>
      <c r="I60">
        <f>获奖信息!I58</f>
        <v>0.5</v>
      </c>
      <c r="J60" t="str">
        <f>获奖信息!J58</f>
        <v>孙浩</v>
      </c>
      <c r="K60">
        <f>获奖信息!K58</f>
        <v>8676584</v>
      </c>
      <c r="L60" t="str">
        <f>获奖信息!L58</f>
        <v>Q/T/S专业级QC</v>
      </c>
      <c r="M60">
        <f>获奖信息!M58</f>
        <v>1</v>
      </c>
      <c r="N60">
        <f>获奖信息!N58</f>
        <v>1</v>
      </c>
      <c r="O60">
        <f>获奖信息!O58</f>
        <v>0.5</v>
      </c>
    </row>
    <row r="61" spans="1:15" x14ac:dyDescent="0.2">
      <c r="A61">
        <f>获奖信息!A59</f>
        <v>58</v>
      </c>
      <c r="B61">
        <f>获奖信息!B59</f>
        <v>45821</v>
      </c>
      <c r="C61" t="str">
        <f>获奖信息!C59</f>
        <v>设备动力科</v>
      </c>
      <c r="D61" t="str">
        <f>获奖信息!D59</f>
        <v>内部获奖</v>
      </c>
      <c r="E61" t="str">
        <f>获奖信息!E59</f>
        <v>改善功夫发表获奖</v>
      </c>
      <c r="F61" t="str">
        <f>获奖信息!F59</f>
        <v>三等奖</v>
      </c>
      <c r="G61" t="str">
        <f>获奖信息!G59</f>
        <v>树脂升降机人员挤压隐患零化</v>
      </c>
      <c r="H61" t="str">
        <f>获奖信息!H59</f>
        <v>否</v>
      </c>
      <c r="I61">
        <f>获奖信息!I59</f>
        <v>0.5</v>
      </c>
      <c r="J61" t="str">
        <f>获奖信息!J59</f>
        <v>隋君</v>
      </c>
      <c r="K61">
        <f>获奖信息!K59</f>
        <v>8674015</v>
      </c>
      <c r="L61" t="str">
        <f>获奖信息!L59</f>
        <v>Q/T/S专业级QC</v>
      </c>
      <c r="M61">
        <f>获奖信息!M59</f>
        <v>1</v>
      </c>
      <c r="N61">
        <f>获奖信息!N59</f>
        <v>1</v>
      </c>
      <c r="O61">
        <f>获奖信息!O59</f>
        <v>0.5</v>
      </c>
    </row>
    <row r="62" spans="1:15" x14ac:dyDescent="0.2">
      <c r="A62">
        <f>获奖信息!A60</f>
        <v>59</v>
      </c>
      <c r="B62">
        <f>获奖信息!B60</f>
        <v>45821</v>
      </c>
      <c r="C62" t="str">
        <f>获奖信息!C60</f>
        <v>生产管理科</v>
      </c>
      <c r="D62" t="str">
        <f>获奖信息!D60</f>
        <v>内部获奖</v>
      </c>
      <c r="E62" t="str">
        <f>获奖信息!E60</f>
        <v>改善功夫发表获奖</v>
      </c>
      <c r="F62" t="str">
        <f>获奖信息!F60</f>
        <v>三等奖</v>
      </c>
      <c r="G62" t="str">
        <f>获奖信息!G60</f>
        <v>递减无价值垃圾量</v>
      </c>
      <c r="H62" t="str">
        <f>获奖信息!H60</f>
        <v>否</v>
      </c>
      <c r="I62">
        <f>获奖信息!I60</f>
        <v>0.5</v>
      </c>
      <c r="J62" t="str">
        <f>获奖信息!J60</f>
        <v>王洋</v>
      </c>
      <c r="K62">
        <f>获奖信息!K60</f>
        <v>8684029</v>
      </c>
      <c r="L62" t="str">
        <f>获奖信息!L60</f>
        <v>Q/T/S专业级QC</v>
      </c>
      <c r="M62">
        <f>获奖信息!M60</f>
        <v>1</v>
      </c>
      <c r="N62">
        <f>获奖信息!N60</f>
        <v>1</v>
      </c>
      <c r="O62">
        <f>获奖信息!O60</f>
        <v>0.5</v>
      </c>
    </row>
    <row r="63" spans="1:15" x14ac:dyDescent="0.2">
      <c r="A63">
        <f>获奖信息!A61</f>
        <v>60</v>
      </c>
      <c r="B63">
        <f>获奖信息!B61</f>
        <v>45821</v>
      </c>
      <c r="C63" t="str">
        <f>获奖信息!C61</f>
        <v>涂树科</v>
      </c>
      <c r="D63" t="str">
        <f>获奖信息!D61</f>
        <v>内部获奖</v>
      </c>
      <c r="E63" t="str">
        <f>获奖信息!E61</f>
        <v>改善功夫发表获奖</v>
      </c>
      <c r="F63" t="str">
        <f>获奖信息!F61</f>
        <v>三等奖</v>
      </c>
      <c r="G63" t="str">
        <f>获奖信息!G61</f>
        <v>递减擦净除油作业影的喷涂DPHU</v>
      </c>
      <c r="H63" t="str">
        <f>获奖信息!H61</f>
        <v>否</v>
      </c>
      <c r="I63">
        <f>获奖信息!I61</f>
        <v>0.5</v>
      </c>
      <c r="J63" t="str">
        <f>获奖信息!J61</f>
        <v>康明聪</v>
      </c>
      <c r="K63">
        <f>获奖信息!K61</f>
        <v>8681396</v>
      </c>
      <c r="L63" t="str">
        <f>获奖信息!L61</f>
        <v>Q/T/S专业级QC</v>
      </c>
      <c r="M63">
        <f>获奖信息!M61</f>
        <v>1</v>
      </c>
      <c r="N63">
        <f>获奖信息!N61</f>
        <v>1</v>
      </c>
      <c r="O63">
        <f>获奖信息!O61</f>
        <v>0.5</v>
      </c>
    </row>
    <row r="64" spans="1:15" x14ac:dyDescent="0.2">
      <c r="A64">
        <f>获奖信息!A62</f>
        <v>61</v>
      </c>
      <c r="B64">
        <f>获奖信息!B62</f>
        <v>45821</v>
      </c>
      <c r="C64" t="str">
        <f>获奖信息!C62</f>
        <v>涂树科</v>
      </c>
      <c r="D64" t="str">
        <f>获奖信息!D62</f>
        <v>内部获奖</v>
      </c>
      <c r="E64" t="str">
        <f>获奖信息!E62</f>
        <v>改善功夫发表获奖</v>
      </c>
      <c r="F64" t="str">
        <f>获奖信息!F62</f>
        <v>三等奖</v>
      </c>
      <c r="G64" t="str">
        <f>获奖信息!G62</f>
        <v>递减P32S车型机盖胶泡不良件数</v>
      </c>
      <c r="H64" t="str">
        <f>获奖信息!H62</f>
        <v>否</v>
      </c>
      <c r="I64">
        <f>获奖信息!I62</f>
        <v>0.5</v>
      </c>
      <c r="J64" t="str">
        <f>获奖信息!J62</f>
        <v>李绍卫</v>
      </c>
      <c r="K64">
        <f>获奖信息!K62</f>
        <v>8681031</v>
      </c>
      <c r="L64" t="str">
        <f>获奖信息!L62</f>
        <v>Q/T/S专业级QC</v>
      </c>
      <c r="M64">
        <f>获奖信息!M62</f>
        <v>1</v>
      </c>
      <c r="N64">
        <f>获奖信息!N62</f>
        <v>1</v>
      </c>
      <c r="O64">
        <f>获奖信息!O62</f>
        <v>0.5</v>
      </c>
    </row>
    <row r="65" spans="1:15" x14ac:dyDescent="0.2">
      <c r="A65">
        <f>获奖信息!A63</f>
        <v>62</v>
      </c>
      <c r="B65">
        <f>获奖信息!B63</f>
        <v>45821</v>
      </c>
      <c r="C65" t="str">
        <f>获奖信息!C63</f>
        <v>冲焊科</v>
      </c>
      <c r="D65" t="str">
        <f>获奖信息!D63</f>
        <v>内部获奖</v>
      </c>
      <c r="E65" t="str">
        <f>获奖信息!E63</f>
        <v>改善功夫发表获奖</v>
      </c>
      <c r="F65" t="str">
        <f>获奖信息!F63</f>
        <v>三等奖</v>
      </c>
      <c r="G65" t="str">
        <f>获奖信息!G63</f>
        <v>提升P32S背门内板SPH</v>
      </c>
      <c r="H65" t="str">
        <f>获奖信息!H63</f>
        <v>否</v>
      </c>
      <c r="I65">
        <f>获奖信息!I63</f>
        <v>0.5</v>
      </c>
      <c r="J65" t="str">
        <f>获奖信息!J63</f>
        <v>冯大俊</v>
      </c>
      <c r="K65">
        <f>获奖信息!K63</f>
        <v>8613394</v>
      </c>
      <c r="L65" t="str">
        <f>获奖信息!L63</f>
        <v>Q/T/S专业级QC</v>
      </c>
      <c r="M65">
        <f>获奖信息!M63</f>
        <v>1</v>
      </c>
      <c r="N65">
        <f>获奖信息!N63</f>
        <v>1</v>
      </c>
      <c r="O65">
        <f>获奖信息!O63</f>
        <v>0.5</v>
      </c>
    </row>
    <row r="66" spans="1:15" x14ac:dyDescent="0.2">
      <c r="A66">
        <f>获奖信息!A64</f>
        <v>63</v>
      </c>
      <c r="B66">
        <f>获奖信息!B64</f>
        <v>45748</v>
      </c>
      <c r="C66" t="str">
        <f>获奖信息!C64</f>
        <v>工业工程科</v>
      </c>
      <c r="D66" t="str">
        <f>获奖信息!D64</f>
        <v>外部获奖</v>
      </c>
      <c r="E66" t="str">
        <f>获奖信息!E64</f>
        <v>全国级/DFG级奖项</v>
      </c>
      <c r="F66" t="str">
        <f>获奖信息!F64</f>
        <v>一等奖</v>
      </c>
      <c r="G66" t="str">
        <f>获奖信息!G64</f>
        <v>直接到间接-间准人员减负</v>
      </c>
      <c r="H66" t="str">
        <f>获奖信息!H64</f>
        <v>否</v>
      </c>
      <c r="I66">
        <f>获奖信息!I64</f>
        <v>5</v>
      </c>
      <c r="J66" t="str">
        <f>获奖信息!J64</f>
        <v>王冠</v>
      </c>
      <c r="K66">
        <f>获奖信息!K64</f>
        <v>8698876</v>
      </c>
      <c r="L66" t="str">
        <f>获奖信息!L64</f>
        <v>东风制造效率提升</v>
      </c>
      <c r="M66">
        <f>获奖信息!M64</f>
        <v>0.5</v>
      </c>
      <c r="N66">
        <f>获奖信息!N64</f>
        <v>1</v>
      </c>
      <c r="O66">
        <f>获奖信息!O64</f>
        <v>2.5</v>
      </c>
    </row>
    <row r="67" spans="1:15" x14ac:dyDescent="0.2">
      <c r="A67">
        <f>获奖信息!A65</f>
        <v>64</v>
      </c>
      <c r="B67">
        <f>获奖信息!B65</f>
        <v>45748</v>
      </c>
      <c r="C67" t="str">
        <f>获奖信息!C65</f>
        <v>工业工程科</v>
      </c>
      <c r="D67" t="str">
        <f>获奖信息!D65</f>
        <v>外部获奖</v>
      </c>
      <c r="E67" t="str">
        <f>获奖信息!E65</f>
        <v>全国级/DFG级奖项</v>
      </c>
      <c r="F67" t="str">
        <f>获奖信息!F65</f>
        <v>一等奖</v>
      </c>
      <c r="G67" t="str">
        <f>获奖信息!G65</f>
        <v>直接到间接-间准人员减负</v>
      </c>
      <c r="H67" t="str">
        <f>获奖信息!H65</f>
        <v>否</v>
      </c>
      <c r="I67">
        <f>获奖信息!I65</f>
        <v>5</v>
      </c>
      <c r="J67" t="str">
        <f>获奖信息!J65</f>
        <v>吴广超</v>
      </c>
      <c r="K67">
        <f>获奖信息!K65</f>
        <v>8687765</v>
      </c>
      <c r="L67" t="str">
        <f>获奖信息!L65</f>
        <v>东风制造效率提升</v>
      </c>
      <c r="M67">
        <f>获奖信息!M65</f>
        <v>0.5</v>
      </c>
      <c r="N67">
        <f>获奖信息!N65</f>
        <v>1</v>
      </c>
      <c r="O67">
        <f>获奖信息!O65</f>
        <v>2.5</v>
      </c>
    </row>
    <row r="68" spans="1:15" x14ac:dyDescent="0.2">
      <c r="A68">
        <f>获奖信息!A67</f>
        <v>66</v>
      </c>
      <c r="B68">
        <f>获奖信息!B67</f>
        <v>45821</v>
      </c>
      <c r="C68" t="str">
        <f>获奖信息!C67</f>
        <v>设备动力科</v>
      </c>
      <c r="D68" t="str">
        <f>获奖信息!D67</f>
        <v>外部获奖</v>
      </c>
      <c r="E68" t="str">
        <f>获奖信息!E67</f>
        <v>全国级/DFG级奖项</v>
      </c>
      <c r="F68" t="str">
        <f>获奖信息!F67</f>
        <v>二等奖</v>
      </c>
      <c r="G68">
        <f>获奖信息!G67</f>
        <v>0</v>
      </c>
      <c r="H68" t="str">
        <f>获奖信息!H67</f>
        <v>否</v>
      </c>
      <c r="I68">
        <f>获奖信息!I67</f>
        <v>4</v>
      </c>
      <c r="J68" t="str">
        <f>获奖信息!J67</f>
        <v>刘昇</v>
      </c>
      <c r="K68">
        <f>获奖信息!K67</f>
        <v>8613261</v>
      </c>
      <c r="L68" t="str">
        <f>获奖信息!L67</f>
        <v>全国设备管理与技术创新成果</v>
      </c>
      <c r="M68">
        <f>获奖信息!M67</f>
        <v>1</v>
      </c>
      <c r="N68">
        <f>获奖信息!N67</f>
        <v>1</v>
      </c>
      <c r="O68">
        <f>获奖信息!O67</f>
        <v>4</v>
      </c>
    </row>
    <row r="69" spans="1:15" x14ac:dyDescent="0.2">
      <c r="A69">
        <f>获奖信息!A68</f>
        <v>67</v>
      </c>
      <c r="B69">
        <f>获奖信息!B68</f>
        <v>45809</v>
      </c>
      <c r="C69" t="str">
        <f>获奖信息!C68</f>
        <v>设备动力科</v>
      </c>
      <c r="D69" t="str">
        <f>获奖信息!D68</f>
        <v>外部获奖</v>
      </c>
      <c r="E69" t="str">
        <f>获奖信息!E68</f>
        <v>DFN级/市级奖项</v>
      </c>
      <c r="F69" t="str">
        <f>获奖信息!F68</f>
        <v>二等奖</v>
      </c>
      <c r="G69">
        <f>获奖信息!G68</f>
        <v>0</v>
      </c>
      <c r="H69" t="str">
        <f>获奖信息!H68</f>
        <v>否</v>
      </c>
      <c r="I69">
        <f>获奖信息!I68</f>
        <v>2</v>
      </c>
      <c r="J69" t="str">
        <f>获奖信息!J68</f>
        <v>曹洪志</v>
      </c>
      <c r="K69">
        <f>获奖信息!K68</f>
        <v>8630191</v>
      </c>
      <c r="L69" t="str">
        <f>获奖信息!L68</f>
        <v>DFN 节能改善QC发表</v>
      </c>
      <c r="M69">
        <f>获奖信息!M68</f>
        <v>1</v>
      </c>
      <c r="N69">
        <f>获奖信息!N68</f>
        <v>1</v>
      </c>
      <c r="O69">
        <f>获奖信息!O68</f>
        <v>2</v>
      </c>
    </row>
    <row r="70" spans="1:15" x14ac:dyDescent="0.2">
      <c r="A70">
        <f>获奖信息!A69</f>
        <v>68</v>
      </c>
      <c r="B70">
        <f>获奖信息!B69</f>
        <v>45809</v>
      </c>
      <c r="C70" t="str">
        <f>获奖信息!C69</f>
        <v>总装科</v>
      </c>
      <c r="D70" t="str">
        <f>获奖信息!D69</f>
        <v>外部获奖</v>
      </c>
      <c r="E70" t="str">
        <f>获奖信息!E69</f>
        <v>DFN级/市级奖项</v>
      </c>
      <c r="F70" t="str">
        <f>获奖信息!F69</f>
        <v>三等奖</v>
      </c>
      <c r="G70">
        <f>获奖信息!G69</f>
        <v>0</v>
      </c>
      <c r="H70" t="str">
        <f>获奖信息!H69</f>
        <v>否</v>
      </c>
      <c r="I70">
        <f>获奖信息!I69</f>
        <v>1</v>
      </c>
      <c r="J70" t="str">
        <f>获奖信息!J69</f>
        <v>邢若飞</v>
      </c>
      <c r="K70">
        <f>获奖信息!K69</f>
        <v>8676593</v>
      </c>
      <c r="L70" t="str">
        <f>获奖信息!L69</f>
        <v>DFN EHS改善QC发表</v>
      </c>
      <c r="M70">
        <f>获奖信息!M69</f>
        <v>1</v>
      </c>
      <c r="N70">
        <f>获奖信息!N69</f>
        <v>1</v>
      </c>
      <c r="O70">
        <f>获奖信息!O69</f>
        <v>1</v>
      </c>
    </row>
    <row r="71" spans="1:15" x14ac:dyDescent="0.2">
      <c r="A71" t="e">
        <f>获奖信息!#REF!</f>
        <v>#REF!</v>
      </c>
      <c r="B71" t="e">
        <f>获奖信息!#REF!</f>
        <v>#REF!</v>
      </c>
      <c r="C71" t="e">
        <f>获奖信息!#REF!</f>
        <v>#REF!</v>
      </c>
      <c r="D71" t="e">
        <f>获奖信息!#REF!</f>
        <v>#REF!</v>
      </c>
      <c r="E71" t="e">
        <f>获奖信息!#REF!</f>
        <v>#REF!</v>
      </c>
      <c r="F71" t="e">
        <f>获奖信息!#REF!</f>
        <v>#REF!</v>
      </c>
      <c r="G71" t="e">
        <f>获奖信息!#REF!</f>
        <v>#REF!</v>
      </c>
      <c r="H71" t="e">
        <f>获奖信息!#REF!</f>
        <v>#REF!</v>
      </c>
      <c r="I71" t="e">
        <f>获奖信息!#REF!</f>
        <v>#REF!</v>
      </c>
      <c r="J71" t="e">
        <f>获奖信息!#REF!</f>
        <v>#REF!</v>
      </c>
      <c r="K71" t="e">
        <f>获奖信息!#REF!</f>
        <v>#REF!</v>
      </c>
      <c r="L71" t="e">
        <f>获奖信息!#REF!</f>
        <v>#REF!</v>
      </c>
      <c r="M71" t="e">
        <f>获奖信息!#REF!</f>
        <v>#REF!</v>
      </c>
      <c r="N71" t="e">
        <f>获奖信息!#REF!</f>
        <v>#REF!</v>
      </c>
      <c r="O71" t="e">
        <f>获奖信息!#REF!</f>
        <v>#REF!</v>
      </c>
    </row>
    <row r="72" spans="1:15" x14ac:dyDescent="0.2">
      <c r="A72">
        <f>获奖信息!A71</f>
        <v>70</v>
      </c>
      <c r="B72">
        <f>获奖信息!B71</f>
        <v>45870</v>
      </c>
      <c r="C72" t="str">
        <f>获奖信息!C71</f>
        <v>冲焊科</v>
      </c>
      <c r="D72" t="str">
        <f>获奖信息!D71</f>
        <v>内部获奖</v>
      </c>
      <c r="E72" t="str">
        <f>获奖信息!E71</f>
        <v>数字化课题开发</v>
      </c>
      <c r="F72" t="str">
        <f>获奖信息!F71</f>
        <v>普通课题</v>
      </c>
      <c r="G72" t="str">
        <f>获奖信息!G71</f>
        <v>冲焊党支部员工生日提醒</v>
      </c>
      <c r="H72" t="str">
        <f>获奖信息!H71</f>
        <v>否</v>
      </c>
      <c r="I72">
        <f>获奖信息!I71</f>
        <v>1</v>
      </c>
      <c r="J72" t="str">
        <f>获奖信息!J71</f>
        <v>宋畅</v>
      </c>
      <c r="K72">
        <f>获奖信息!K71</f>
        <v>8676591</v>
      </c>
      <c r="L72">
        <f>获奖信息!L71</f>
        <v>0</v>
      </c>
      <c r="M72">
        <f>获奖信息!M71</f>
        <v>1</v>
      </c>
      <c r="N72">
        <f>获奖信息!N71</f>
        <v>1</v>
      </c>
      <c r="O72">
        <f>获奖信息!O71</f>
        <v>1</v>
      </c>
    </row>
    <row r="73" spans="1:15" x14ac:dyDescent="0.2">
      <c r="A73">
        <f>获奖信息!A72</f>
        <v>71</v>
      </c>
      <c r="B73">
        <f>获奖信息!B72</f>
        <v>45870</v>
      </c>
      <c r="C73" t="str">
        <f>获奖信息!C72</f>
        <v>生产管理科</v>
      </c>
      <c r="D73" t="str">
        <f>获奖信息!D72</f>
        <v>内部获奖</v>
      </c>
      <c r="E73" t="str">
        <f>获奖信息!E72</f>
        <v>数字化课题开发</v>
      </c>
      <c r="F73" t="str">
        <f>获奖信息!F72</f>
        <v>普通课题</v>
      </c>
      <c r="G73" t="str">
        <f>获奖信息!G72</f>
        <v>工料废自动记账</v>
      </c>
      <c r="H73" t="str">
        <f>获奖信息!H72</f>
        <v>是</v>
      </c>
      <c r="I73">
        <f>获奖信息!I72</f>
        <v>1.5</v>
      </c>
      <c r="J73" t="str">
        <f>获奖信息!J72</f>
        <v>王洋</v>
      </c>
      <c r="K73">
        <f>获奖信息!K72</f>
        <v>8684029</v>
      </c>
      <c r="L73">
        <f>获奖信息!L72</f>
        <v>0</v>
      </c>
      <c r="M73">
        <f>获奖信息!M72</f>
        <v>1</v>
      </c>
      <c r="N73">
        <f>获奖信息!N72</f>
        <v>1</v>
      </c>
      <c r="O73">
        <f>获奖信息!O72</f>
        <v>1.5</v>
      </c>
    </row>
    <row r="74" spans="1:15" x14ac:dyDescent="0.2">
      <c r="A74">
        <f>获奖信息!A73</f>
        <v>72</v>
      </c>
      <c r="B74">
        <f>获奖信息!B73</f>
        <v>45870</v>
      </c>
      <c r="C74" t="str">
        <f>获奖信息!C73</f>
        <v>工业工程科</v>
      </c>
      <c r="D74" t="str">
        <f>获奖信息!D73</f>
        <v>内部获奖</v>
      </c>
      <c r="E74" t="str">
        <f>获奖信息!E73</f>
        <v>数字化课题开发</v>
      </c>
      <c r="F74" t="str">
        <f>获奖信息!F73</f>
        <v>普通课题</v>
      </c>
      <c r="G74" t="str">
        <f>获奖信息!G73</f>
        <v>大连工厂改善创新积分制规则答疑</v>
      </c>
      <c r="H74" t="str">
        <f>获奖信息!H73</f>
        <v>否</v>
      </c>
      <c r="I74">
        <f>获奖信息!I73</f>
        <v>1</v>
      </c>
      <c r="J74" t="str">
        <f>获奖信息!J73</f>
        <v>王晓冬</v>
      </c>
      <c r="K74">
        <f>获奖信息!K73</f>
        <v>8680291</v>
      </c>
      <c r="L74">
        <f>获奖信息!L73</f>
        <v>0</v>
      </c>
      <c r="M74">
        <f>获奖信息!M73</f>
        <v>1</v>
      </c>
      <c r="N74">
        <f>获奖信息!N73</f>
        <v>1</v>
      </c>
      <c r="O74">
        <f>获奖信息!O73</f>
        <v>1</v>
      </c>
    </row>
    <row r="75" spans="1:15" x14ac:dyDescent="0.2">
      <c r="A75">
        <f>获奖信息!A74</f>
        <v>73</v>
      </c>
      <c r="B75">
        <f>获奖信息!B74</f>
        <v>45870</v>
      </c>
      <c r="C75" t="str">
        <f>获奖信息!C74</f>
        <v>涂树科</v>
      </c>
      <c r="D75" t="str">
        <f>获奖信息!D74</f>
        <v>内部获奖</v>
      </c>
      <c r="E75" t="str">
        <f>获奖信息!E74</f>
        <v>数字化课题开发</v>
      </c>
      <c r="F75" t="str">
        <f>获奖信息!F74</f>
        <v>普通课题</v>
      </c>
      <c r="G75" t="str">
        <f>获奖信息!G74</f>
        <v>树脂科数字点检自动导出分析</v>
      </c>
      <c r="H75" t="str">
        <f>获奖信息!H74</f>
        <v>否</v>
      </c>
      <c r="I75">
        <f>获奖信息!I74</f>
        <v>1</v>
      </c>
      <c r="J75" t="str">
        <f>获奖信息!J74</f>
        <v>康明聪</v>
      </c>
      <c r="K75">
        <f>获奖信息!K74</f>
        <v>8681396</v>
      </c>
      <c r="L75">
        <f>获奖信息!L74</f>
        <v>0</v>
      </c>
      <c r="M75">
        <f>获奖信息!M74</f>
        <v>1</v>
      </c>
      <c r="N75">
        <f>获奖信息!N74</f>
        <v>1</v>
      </c>
      <c r="O75">
        <f>获奖信息!O74</f>
        <v>1</v>
      </c>
    </row>
    <row r="76" spans="1:15" x14ac:dyDescent="0.2">
      <c r="A76" t="e">
        <f>获奖信息!#REF!</f>
        <v>#REF!</v>
      </c>
      <c r="B76" t="e">
        <f>获奖信息!#REF!</f>
        <v>#REF!</v>
      </c>
      <c r="C76" t="e">
        <f>获奖信息!#REF!</f>
        <v>#REF!</v>
      </c>
      <c r="D76" t="e">
        <f>获奖信息!#REF!</f>
        <v>#REF!</v>
      </c>
      <c r="E76" t="e">
        <f>获奖信息!#REF!</f>
        <v>#REF!</v>
      </c>
      <c r="F76" t="e">
        <f>获奖信息!#REF!</f>
        <v>#REF!</v>
      </c>
      <c r="G76" t="e">
        <f>获奖信息!#REF!</f>
        <v>#REF!</v>
      </c>
      <c r="H76" t="e">
        <f>获奖信息!#REF!</f>
        <v>#REF!</v>
      </c>
      <c r="I76" t="e">
        <f>获奖信息!#REF!</f>
        <v>#REF!</v>
      </c>
      <c r="J76" t="e">
        <f>获奖信息!#REF!</f>
        <v>#REF!</v>
      </c>
      <c r="K76" t="e">
        <f>获奖信息!#REF!</f>
        <v>#REF!</v>
      </c>
      <c r="L76" t="e">
        <f>获奖信息!#REF!</f>
        <v>#REF!</v>
      </c>
      <c r="M76" t="e">
        <f>获奖信息!#REF!</f>
        <v>#REF!</v>
      </c>
      <c r="N76" t="e">
        <f>获奖信息!#REF!</f>
        <v>#REF!</v>
      </c>
      <c r="O76" t="e">
        <f>获奖信息!#REF!</f>
        <v>#REF!</v>
      </c>
    </row>
    <row r="77" spans="1:15" x14ac:dyDescent="0.2">
      <c r="A77" t="e">
        <f>获奖信息!#REF!</f>
        <v>#REF!</v>
      </c>
      <c r="B77" t="e">
        <f>获奖信息!#REF!</f>
        <v>#REF!</v>
      </c>
      <c r="C77" t="e">
        <f>获奖信息!#REF!</f>
        <v>#REF!</v>
      </c>
      <c r="D77" t="e">
        <f>获奖信息!#REF!</f>
        <v>#REF!</v>
      </c>
      <c r="E77" t="e">
        <f>获奖信息!#REF!</f>
        <v>#REF!</v>
      </c>
      <c r="F77" t="e">
        <f>获奖信息!#REF!</f>
        <v>#REF!</v>
      </c>
      <c r="G77" t="e">
        <f>获奖信息!#REF!</f>
        <v>#REF!</v>
      </c>
      <c r="H77" t="e">
        <f>获奖信息!#REF!</f>
        <v>#REF!</v>
      </c>
      <c r="I77" t="e">
        <f>获奖信息!#REF!</f>
        <v>#REF!</v>
      </c>
      <c r="J77" t="e">
        <f>获奖信息!#REF!</f>
        <v>#REF!</v>
      </c>
      <c r="K77" t="e">
        <f>获奖信息!#REF!</f>
        <v>#REF!</v>
      </c>
      <c r="L77" t="e">
        <f>获奖信息!#REF!</f>
        <v>#REF!</v>
      </c>
      <c r="M77" t="e">
        <f>获奖信息!#REF!</f>
        <v>#REF!</v>
      </c>
      <c r="N77" t="e">
        <f>获奖信息!#REF!</f>
        <v>#REF!</v>
      </c>
      <c r="O77" t="e">
        <f>获奖信息!#REF!</f>
        <v>#REF!</v>
      </c>
    </row>
    <row r="78" spans="1:15" x14ac:dyDescent="0.2">
      <c r="A78">
        <f>获奖信息!A76</f>
        <v>75</v>
      </c>
      <c r="B78">
        <f>获奖信息!B76</f>
        <v>45870</v>
      </c>
      <c r="C78" t="str">
        <f>获奖信息!C76</f>
        <v>品质保证科</v>
      </c>
      <c r="D78" t="str">
        <f>获奖信息!D76</f>
        <v>内部获奖</v>
      </c>
      <c r="E78" t="str">
        <f>获奖信息!E76</f>
        <v>数字化课题开发</v>
      </c>
      <c r="F78" t="str">
        <f>获奖信息!F76</f>
        <v>重点课题</v>
      </c>
      <c r="G78" t="str">
        <f>获奖信息!G76</f>
        <v>TQMP在线问题点自动预警</v>
      </c>
      <c r="H78" t="str">
        <f>获奖信息!H76</f>
        <v>是</v>
      </c>
      <c r="I78">
        <f>获奖信息!I76</f>
        <v>2.5</v>
      </c>
      <c r="J78" t="str">
        <f>获奖信息!J76</f>
        <v>许红科</v>
      </c>
      <c r="K78">
        <f>获奖信息!K76</f>
        <v>8683928</v>
      </c>
      <c r="L78">
        <f>获奖信息!L76</f>
        <v>0</v>
      </c>
      <c r="M78">
        <f>获奖信息!M76</f>
        <v>1</v>
      </c>
      <c r="N78">
        <f>获奖信息!N76</f>
        <v>1</v>
      </c>
      <c r="O78">
        <f>获奖信息!O76</f>
        <v>2.5</v>
      </c>
    </row>
    <row r="79" spans="1:15" x14ac:dyDescent="0.2">
      <c r="A79">
        <f>获奖信息!A77</f>
        <v>76</v>
      </c>
      <c r="B79">
        <f>获奖信息!B77</f>
        <v>45839</v>
      </c>
      <c r="C79" t="str">
        <f>获奖信息!C77</f>
        <v>技术科</v>
      </c>
      <c r="D79" t="str">
        <f>获奖信息!D77</f>
        <v>外部获奖</v>
      </c>
      <c r="E79" t="str">
        <f>获奖信息!E77</f>
        <v>国家专利受理</v>
      </c>
      <c r="F79" t="str">
        <f>获奖信息!F77</f>
        <v>发明专利</v>
      </c>
      <c r="G79" t="str">
        <f>获奖信息!G77</f>
        <v>一种汽车大灯支架的定位连接工艺</v>
      </c>
      <c r="H79" t="str">
        <f>获奖信息!H77</f>
        <v>是</v>
      </c>
      <c r="I79">
        <f>获奖信息!I77</f>
        <v>4.5</v>
      </c>
      <c r="J79" t="str">
        <f>获奖信息!J77</f>
        <v>张哲</v>
      </c>
      <c r="K79">
        <f>获奖信息!K77</f>
        <v>8695568</v>
      </c>
      <c r="L79">
        <f>获奖信息!L77</f>
        <v>0</v>
      </c>
      <c r="M79">
        <f>获奖信息!M77</f>
        <v>1</v>
      </c>
      <c r="N79">
        <f>获奖信息!N77</f>
        <v>1</v>
      </c>
      <c r="O79">
        <f>获奖信息!O77</f>
        <v>4.5</v>
      </c>
    </row>
    <row r="80" spans="1:15" x14ac:dyDescent="0.2">
      <c r="A80">
        <f>获奖信息!A78</f>
        <v>77</v>
      </c>
      <c r="B80">
        <f>获奖信息!B78</f>
        <v>45839</v>
      </c>
      <c r="C80" t="str">
        <f>获奖信息!C78</f>
        <v>设备动力科</v>
      </c>
      <c r="D80" t="str">
        <f>获奖信息!D78</f>
        <v>外部获奖</v>
      </c>
      <c r="E80" t="str">
        <f>获奖信息!E78</f>
        <v>国家专利受理</v>
      </c>
      <c r="F80" t="str">
        <f>获奖信息!F78</f>
        <v>发明专利</v>
      </c>
      <c r="G80" t="str">
        <f>获奖信息!G78</f>
        <v>多螺母拧紧机</v>
      </c>
      <c r="H80" t="str">
        <f>获奖信息!H78</f>
        <v>否</v>
      </c>
      <c r="I80">
        <f>获奖信息!I78</f>
        <v>4</v>
      </c>
      <c r="J80" t="str">
        <f>获奖信息!J78</f>
        <v>杨艳宝</v>
      </c>
      <c r="K80">
        <f>获奖信息!K78</f>
        <v>8675885</v>
      </c>
      <c r="L80">
        <f>获奖信息!L78</f>
        <v>0</v>
      </c>
      <c r="M80">
        <f>获奖信息!M78</f>
        <v>1</v>
      </c>
      <c r="N80">
        <f>获奖信息!N78</f>
        <v>1</v>
      </c>
      <c r="O80">
        <f>获奖信息!O78</f>
        <v>4</v>
      </c>
    </row>
    <row r="81" spans="1:15" x14ac:dyDescent="0.2">
      <c r="A81">
        <f>获奖信息!A79</f>
        <v>78</v>
      </c>
      <c r="B81">
        <f>获奖信息!B79</f>
        <v>45839</v>
      </c>
      <c r="C81" t="str">
        <f>获奖信息!C79</f>
        <v>工业工程科</v>
      </c>
      <c r="D81" t="str">
        <f>获奖信息!D79</f>
        <v>外部获奖</v>
      </c>
      <c r="E81" t="str">
        <f>获奖信息!E79</f>
        <v>国家专利受理</v>
      </c>
      <c r="F81" t="str">
        <f>获奖信息!F79</f>
        <v>发明专利</v>
      </c>
      <c r="G81" t="str">
        <f>获奖信息!G79</f>
        <v>电极帽或其它需要旋转拆卸的轴类元件自动拆卸装置</v>
      </c>
      <c r="H81" t="str">
        <f>获奖信息!H79</f>
        <v>否</v>
      </c>
      <c r="I81">
        <f>获奖信息!I79</f>
        <v>4</v>
      </c>
      <c r="J81" t="str">
        <f>获奖信息!J79</f>
        <v>宋伟</v>
      </c>
      <c r="K81">
        <f>获奖信息!K79</f>
        <v>8680603</v>
      </c>
      <c r="L81">
        <f>获奖信息!L79</f>
        <v>0</v>
      </c>
      <c r="M81">
        <f>获奖信息!M79</f>
        <v>1</v>
      </c>
      <c r="N81">
        <f>获奖信息!N79</f>
        <v>1</v>
      </c>
      <c r="O81">
        <f>获奖信息!O79</f>
        <v>4</v>
      </c>
    </row>
    <row r="82" spans="1:15" x14ac:dyDescent="0.2">
      <c r="A82">
        <f>获奖信息!A80</f>
        <v>79</v>
      </c>
      <c r="B82">
        <f>获奖信息!B80</f>
        <v>45839</v>
      </c>
      <c r="C82" t="str">
        <f>获奖信息!C80</f>
        <v>工业工程科</v>
      </c>
      <c r="D82" t="str">
        <f>获奖信息!D80</f>
        <v>外部获奖</v>
      </c>
      <c r="E82" t="str">
        <f>获奖信息!E80</f>
        <v>国家专利受理</v>
      </c>
      <c r="F82" t="str">
        <f>获奖信息!F80</f>
        <v>发明专利</v>
      </c>
      <c r="G82" t="str">
        <f>获奖信息!G80</f>
        <v>一种上下电极帽的自动供料装置</v>
      </c>
      <c r="H82" t="str">
        <f>获奖信息!H80</f>
        <v>否</v>
      </c>
      <c r="I82">
        <f>获奖信息!I80</f>
        <v>4</v>
      </c>
      <c r="J82" t="str">
        <f>获奖信息!J80</f>
        <v>宋伟</v>
      </c>
      <c r="K82">
        <f>获奖信息!K80</f>
        <v>8680603</v>
      </c>
      <c r="L82">
        <f>获奖信息!L80</f>
        <v>0</v>
      </c>
      <c r="M82">
        <f>获奖信息!M80</f>
        <v>1</v>
      </c>
      <c r="N82">
        <f>获奖信息!N80</f>
        <v>1</v>
      </c>
      <c r="O82">
        <f>获奖信息!O80</f>
        <v>4</v>
      </c>
    </row>
    <row r="83" spans="1:15" x14ac:dyDescent="0.2">
      <c r="A83">
        <f>获奖信息!A81</f>
        <v>80</v>
      </c>
      <c r="B83">
        <f>获奖信息!B81</f>
        <v>45839</v>
      </c>
      <c r="C83" t="str">
        <f>获奖信息!C81</f>
        <v>设备动力科</v>
      </c>
      <c r="D83" t="str">
        <f>获奖信息!D81</f>
        <v>外部获奖</v>
      </c>
      <c r="E83" t="str">
        <f>获奖信息!E81</f>
        <v>国家专利受理</v>
      </c>
      <c r="F83" t="str">
        <f>获奖信息!F81</f>
        <v>实用新型</v>
      </c>
      <c r="G83" t="str">
        <f>获奖信息!G81</f>
        <v>种可校正车体前后地板螺柱位置的轻量化治具</v>
      </c>
      <c r="H83" t="str">
        <f>获奖信息!H81</f>
        <v>是</v>
      </c>
      <c r="I83">
        <f>获奖信息!I81</f>
        <v>3.5</v>
      </c>
      <c r="J83" t="str">
        <f>获奖信息!J81</f>
        <v>李东坪</v>
      </c>
      <c r="K83">
        <f>获奖信息!K81</f>
        <v>8694998</v>
      </c>
      <c r="L83">
        <f>获奖信息!L81</f>
        <v>0</v>
      </c>
      <c r="M83">
        <f>获奖信息!M81</f>
        <v>1</v>
      </c>
      <c r="N83">
        <f>获奖信息!N81</f>
        <v>1</v>
      </c>
      <c r="O83">
        <f>获奖信息!O81</f>
        <v>3.5</v>
      </c>
    </row>
    <row r="84" spans="1:15" x14ac:dyDescent="0.2">
      <c r="A84">
        <f>获奖信息!A82</f>
        <v>81</v>
      </c>
      <c r="B84">
        <f>获奖信息!B82</f>
        <v>45901</v>
      </c>
      <c r="C84" t="str">
        <f>获奖信息!C82</f>
        <v>冲焊科</v>
      </c>
      <c r="D84" t="str">
        <f>获奖信息!D82</f>
        <v>内部获奖</v>
      </c>
      <c r="E84" t="str">
        <f>获奖信息!E82</f>
        <v>数字化课题开发</v>
      </c>
      <c r="F84" t="str">
        <f>获奖信息!F82</f>
        <v>重点课题</v>
      </c>
      <c r="G84" t="str">
        <f>获奖信息!G82</f>
        <v>焊装车间新媒体工作AI机器人助手</v>
      </c>
      <c r="H84" t="str">
        <f>获奖信息!H82</f>
        <v>否</v>
      </c>
      <c r="I84">
        <f>获奖信息!I82</f>
        <v>2</v>
      </c>
      <c r="J84" t="str">
        <f>获奖信息!J82</f>
        <v>宋畅</v>
      </c>
      <c r="K84">
        <f>获奖信息!K82</f>
        <v>8676591</v>
      </c>
      <c r="L84">
        <f>获奖信息!L82</f>
        <v>0</v>
      </c>
      <c r="M84">
        <f>获奖信息!M82</f>
        <v>1</v>
      </c>
      <c r="N84">
        <f>获奖信息!N82</f>
        <v>1</v>
      </c>
      <c r="O84">
        <f>获奖信息!O82</f>
        <v>2</v>
      </c>
    </row>
    <row r="85" spans="1:15" x14ac:dyDescent="0.2">
      <c r="A85">
        <f>获奖信息!A83</f>
        <v>82</v>
      </c>
      <c r="B85">
        <f>获奖信息!B83</f>
        <v>45901</v>
      </c>
      <c r="C85" t="str">
        <f>获奖信息!C83</f>
        <v>技术科</v>
      </c>
      <c r="D85" t="str">
        <f>获奖信息!D83</f>
        <v>内部获奖</v>
      </c>
      <c r="E85" t="str">
        <f>获奖信息!E83</f>
        <v>数字化课题开发</v>
      </c>
      <c r="F85" t="str">
        <f>获奖信息!F83</f>
        <v>重点课题</v>
      </c>
      <c r="G85" t="str">
        <f>获奖信息!G83</f>
        <v>色差分析助手</v>
      </c>
      <c r="H85" t="str">
        <f>获奖信息!H83</f>
        <v>是</v>
      </c>
      <c r="I85">
        <f>获奖信息!I83</f>
        <v>2.5</v>
      </c>
      <c r="J85" t="str">
        <f>获奖信息!J83</f>
        <v>冯泽华</v>
      </c>
      <c r="K85">
        <f>获奖信息!K83</f>
        <v>8722475</v>
      </c>
      <c r="L85">
        <f>获奖信息!L83</f>
        <v>0</v>
      </c>
      <c r="M85">
        <f>获奖信息!M83</f>
        <v>1</v>
      </c>
      <c r="N85">
        <f>获奖信息!N83</f>
        <v>1</v>
      </c>
      <c r="O85">
        <f>获奖信息!O83</f>
        <v>2.5</v>
      </c>
    </row>
    <row r="86" spans="1:15" x14ac:dyDescent="0.2">
      <c r="A86">
        <f>获奖信息!A84</f>
        <v>83</v>
      </c>
      <c r="B86">
        <f>获奖信息!B84</f>
        <v>45870</v>
      </c>
      <c r="C86" t="str">
        <f>获奖信息!C84</f>
        <v>设备动力科</v>
      </c>
      <c r="D86" t="str">
        <f>获奖信息!D84</f>
        <v>内部获奖</v>
      </c>
      <c r="E86" t="str">
        <f>获奖信息!E84</f>
        <v>数字化课题开发</v>
      </c>
      <c r="F86" t="str">
        <f>获奖信息!F84</f>
        <v>重点课题</v>
      </c>
      <c r="G86" t="str">
        <f>获奖信息!G84</f>
        <v>VOC无线通讯报警</v>
      </c>
      <c r="H86" t="str">
        <f>获奖信息!H84</f>
        <v>是</v>
      </c>
      <c r="I86">
        <f>获奖信息!I84</f>
        <v>2.5</v>
      </c>
      <c r="J86" t="str">
        <f>获奖信息!J84</f>
        <v>刘炜华</v>
      </c>
      <c r="K86">
        <f>获奖信息!K84</f>
        <v>8698965</v>
      </c>
      <c r="L86">
        <f>获奖信息!L84</f>
        <v>0</v>
      </c>
      <c r="M86">
        <f>获奖信息!M84</f>
        <v>1</v>
      </c>
      <c r="N86">
        <f>获奖信息!N84</f>
        <v>1</v>
      </c>
      <c r="O86">
        <f>获奖信息!O84</f>
        <v>2.5</v>
      </c>
    </row>
    <row r="87" spans="1:15" x14ac:dyDescent="0.2">
      <c r="A87">
        <f>获奖信息!A85</f>
        <v>84</v>
      </c>
      <c r="B87">
        <f>获奖信息!B85</f>
        <v>45870</v>
      </c>
      <c r="C87" t="str">
        <f>获奖信息!C85</f>
        <v>技术科</v>
      </c>
      <c r="D87" t="str">
        <f>获奖信息!D85</f>
        <v>内部获奖</v>
      </c>
      <c r="E87" t="str">
        <f>获奖信息!E85</f>
        <v>数字化课题开发</v>
      </c>
      <c r="F87" t="str">
        <f>获奖信息!F85</f>
        <v>普通课题</v>
      </c>
      <c r="G87" t="str">
        <f>获奖信息!G85</f>
        <v>技术知识库建立</v>
      </c>
      <c r="H87" t="str">
        <f>获奖信息!H85</f>
        <v>否</v>
      </c>
      <c r="I87">
        <f>获奖信息!I85</f>
        <v>1</v>
      </c>
      <c r="J87" t="str">
        <f>获奖信息!J85</f>
        <v>张琦</v>
      </c>
      <c r="K87">
        <f>获奖信息!K85</f>
        <v>8678829</v>
      </c>
      <c r="L87">
        <f>获奖信息!L85</f>
        <v>0</v>
      </c>
      <c r="M87">
        <f>获奖信息!M85</f>
        <v>1</v>
      </c>
      <c r="N87">
        <f>获奖信息!N85</f>
        <v>1</v>
      </c>
      <c r="O87">
        <f>获奖信息!O85</f>
        <v>1</v>
      </c>
    </row>
    <row r="88" spans="1:15" x14ac:dyDescent="0.2">
      <c r="A88">
        <f>获奖信息!A86</f>
        <v>85</v>
      </c>
      <c r="B88">
        <f>获奖信息!B86</f>
        <v>45870</v>
      </c>
      <c r="C88" t="str">
        <f>获奖信息!C86</f>
        <v>生产管理科</v>
      </c>
      <c r="D88" t="str">
        <f>获奖信息!D86</f>
        <v>内部获奖</v>
      </c>
      <c r="E88" t="str">
        <f>获奖信息!E86</f>
        <v>数字化课题开发</v>
      </c>
      <c r="F88" t="str">
        <f>获奖信息!F86</f>
        <v>普通课题</v>
      </c>
      <c r="G88" t="str">
        <f>获奖信息!G86</f>
        <v>生产数据统计分析</v>
      </c>
      <c r="H88" t="str">
        <f>获奖信息!H86</f>
        <v>否</v>
      </c>
      <c r="I88">
        <f>获奖信息!I86</f>
        <v>1</v>
      </c>
      <c r="J88" t="str">
        <f>获奖信息!J86</f>
        <v>祝益盛</v>
      </c>
      <c r="K88">
        <f>获奖信息!K86</f>
        <v>8675741</v>
      </c>
      <c r="L88">
        <f>获奖信息!L86</f>
        <v>0</v>
      </c>
      <c r="M88">
        <f>获奖信息!M86</f>
        <v>1</v>
      </c>
      <c r="N88">
        <f>获奖信息!N86</f>
        <v>1</v>
      </c>
      <c r="O88">
        <f>获奖信息!O86</f>
        <v>1</v>
      </c>
    </row>
    <row r="89" spans="1:15" x14ac:dyDescent="0.2">
      <c r="A89">
        <f>获奖信息!A87</f>
        <v>86</v>
      </c>
      <c r="B89">
        <f>获奖信息!B87</f>
        <v>45901</v>
      </c>
      <c r="C89" t="str">
        <f>获奖信息!C87</f>
        <v>工业工程科</v>
      </c>
      <c r="D89" t="str">
        <f>获奖信息!D87</f>
        <v>内部获奖</v>
      </c>
      <c r="E89" t="str">
        <f>获奖信息!E87</f>
        <v>数字化课题开发</v>
      </c>
      <c r="F89" t="str">
        <f>获奖信息!F87</f>
        <v>普通课题</v>
      </c>
      <c r="G89" t="str">
        <f>获奖信息!G87</f>
        <v>大连工厂数字员工发布数量通报</v>
      </c>
      <c r="H89" t="str">
        <f>获奖信息!H87</f>
        <v>否</v>
      </c>
      <c r="I89">
        <f>获奖信息!I87</f>
        <v>1</v>
      </c>
      <c r="J89" t="str">
        <f>获奖信息!J87</f>
        <v>吴广超</v>
      </c>
      <c r="K89">
        <f>获奖信息!K87</f>
        <v>8687765</v>
      </c>
      <c r="L89">
        <f>获奖信息!L87</f>
        <v>0</v>
      </c>
      <c r="M89">
        <f>获奖信息!M87</f>
        <v>1</v>
      </c>
      <c r="N89">
        <f>获奖信息!N87</f>
        <v>1</v>
      </c>
      <c r="O89">
        <f>获奖信息!O87</f>
        <v>1</v>
      </c>
    </row>
    <row r="90" spans="1:15" x14ac:dyDescent="0.2">
      <c r="A90">
        <f>获奖信息!A88</f>
        <v>87</v>
      </c>
      <c r="B90">
        <f>获奖信息!B88</f>
        <v>45901</v>
      </c>
      <c r="C90" t="str">
        <f>获奖信息!C88</f>
        <v>工业工程科</v>
      </c>
      <c r="D90" t="str">
        <f>获奖信息!D88</f>
        <v>内部获奖</v>
      </c>
      <c r="E90" t="str">
        <f>获奖信息!E88</f>
        <v>数字化课题开发</v>
      </c>
      <c r="F90" t="str">
        <f>获奖信息!F88</f>
        <v>普通课题</v>
      </c>
      <c r="G90" t="str">
        <f>获奖信息!G88</f>
        <v>工时效率指标自动计算</v>
      </c>
      <c r="H90" t="str">
        <f>获奖信息!H88</f>
        <v>是</v>
      </c>
      <c r="I90">
        <f>获奖信息!I88</f>
        <v>1.5</v>
      </c>
      <c r="J90" t="str">
        <f>获奖信息!J88</f>
        <v>曲叶超</v>
      </c>
      <c r="K90">
        <f>获奖信息!K88</f>
        <v>8722495</v>
      </c>
      <c r="L90">
        <f>获奖信息!L88</f>
        <v>0</v>
      </c>
      <c r="M90">
        <f>获奖信息!M88</f>
        <v>1</v>
      </c>
      <c r="N90">
        <f>获奖信息!N88</f>
        <v>1</v>
      </c>
      <c r="O90">
        <f>获奖信息!O88</f>
        <v>1.5</v>
      </c>
    </row>
    <row r="91" spans="1:15" x14ac:dyDescent="0.2">
      <c r="A91">
        <f>获奖信息!A89</f>
        <v>88</v>
      </c>
      <c r="B91">
        <f>获奖信息!B89</f>
        <v>45901</v>
      </c>
      <c r="C91" t="str">
        <f>获奖信息!C89</f>
        <v>品质保证科</v>
      </c>
      <c r="D91" t="str">
        <f>获奖信息!D89</f>
        <v>内部获奖</v>
      </c>
      <c r="E91" t="str">
        <f>获奖信息!E89</f>
        <v>数字化课题开发</v>
      </c>
      <c r="F91" t="str">
        <f>获奖信息!F89</f>
        <v>普通课题</v>
      </c>
      <c r="G91" t="str">
        <f>获奖信息!G89</f>
        <v>车体3D/建付数据自动分析日报生成及发送</v>
      </c>
      <c r="H91" t="str">
        <f>获奖信息!H89</f>
        <v>是</v>
      </c>
      <c r="I91">
        <f>获奖信息!I89</f>
        <v>1.5</v>
      </c>
      <c r="J91" t="str">
        <f>获奖信息!J89</f>
        <v>滕玉龙</v>
      </c>
      <c r="K91">
        <f>获奖信息!K89</f>
        <v>8674440</v>
      </c>
      <c r="L91">
        <f>获奖信息!L89</f>
        <v>0</v>
      </c>
      <c r="M91">
        <f>获奖信息!M89</f>
        <v>1</v>
      </c>
      <c r="N91">
        <f>获奖信息!N89</f>
        <v>1</v>
      </c>
      <c r="O91">
        <f>获奖信息!O89</f>
        <v>1.5</v>
      </c>
    </row>
    <row r="92" spans="1:15" x14ac:dyDescent="0.2">
      <c r="A92">
        <f>获奖信息!A90</f>
        <v>89</v>
      </c>
      <c r="B92">
        <f>获奖信息!B90</f>
        <v>45901</v>
      </c>
      <c r="C92" t="str">
        <f>获奖信息!C90</f>
        <v>技术科</v>
      </c>
      <c r="D92" t="str">
        <f>获奖信息!D90</f>
        <v>内部获奖</v>
      </c>
      <c r="E92" t="str">
        <f>获奖信息!E90</f>
        <v>数字化课题开发</v>
      </c>
      <c r="F92" t="str">
        <f>获奖信息!F90</f>
        <v>普通课题</v>
      </c>
      <c r="G92" t="str">
        <f>获奖信息!G90</f>
        <v>前后工程联动数据自动生成</v>
      </c>
      <c r="H92" t="str">
        <f>获奖信息!H90</f>
        <v>是</v>
      </c>
      <c r="I92">
        <f>获奖信息!I90</f>
        <v>1.5</v>
      </c>
      <c r="J92" t="str">
        <f>获奖信息!J90</f>
        <v>于津</v>
      </c>
      <c r="K92">
        <f>获奖信息!K90</f>
        <v>8696248</v>
      </c>
      <c r="L92">
        <f>获奖信息!L90</f>
        <v>0</v>
      </c>
      <c r="M92">
        <f>获奖信息!M90</f>
        <v>1</v>
      </c>
      <c r="N92">
        <f>获奖信息!N90</f>
        <v>1</v>
      </c>
      <c r="O92">
        <f>获奖信息!O90</f>
        <v>1.5</v>
      </c>
    </row>
    <row r="93" spans="1:15" x14ac:dyDescent="0.2">
      <c r="A93">
        <f>获奖信息!A91</f>
        <v>90</v>
      </c>
      <c r="B93">
        <f>获奖信息!B91</f>
        <v>45901</v>
      </c>
      <c r="C93" t="str">
        <f>获奖信息!C91</f>
        <v>设备动力科</v>
      </c>
      <c r="D93" t="str">
        <f>获奖信息!D91</f>
        <v>内部获奖</v>
      </c>
      <c r="E93" t="str">
        <f>获奖信息!E91</f>
        <v>数字化课题开发</v>
      </c>
      <c r="F93" t="str">
        <f>获奖信息!F91</f>
        <v>普通课题</v>
      </c>
      <c r="G93" t="str">
        <f>获奖信息!G91</f>
        <v>检查数据清理小弟</v>
      </c>
      <c r="H93" t="str">
        <f>获奖信息!H91</f>
        <v>是</v>
      </c>
      <c r="I93">
        <f>获奖信息!I91</f>
        <v>1.5</v>
      </c>
      <c r="J93" t="str">
        <f>获奖信息!J91</f>
        <v>姚增广</v>
      </c>
      <c r="K93">
        <f>获奖信息!K91</f>
        <v>8673987</v>
      </c>
      <c r="L93">
        <f>获奖信息!L91</f>
        <v>0</v>
      </c>
      <c r="M93">
        <f>获奖信息!M91</f>
        <v>1</v>
      </c>
      <c r="N93">
        <f>获奖信息!N91</f>
        <v>1</v>
      </c>
      <c r="O93">
        <f>获奖信息!O91</f>
        <v>1.5</v>
      </c>
    </row>
    <row r="94" spans="1:15" x14ac:dyDescent="0.2">
      <c r="A94">
        <f>获奖信息!A92</f>
        <v>91</v>
      </c>
      <c r="B94">
        <f>获奖信息!B92</f>
        <v>45901</v>
      </c>
      <c r="C94" t="str">
        <f>获奖信息!C92</f>
        <v>冲焊科</v>
      </c>
      <c r="D94" t="str">
        <f>获奖信息!D92</f>
        <v>内部获奖</v>
      </c>
      <c r="E94" t="str">
        <f>获奖信息!E92</f>
        <v>数字化课题开发</v>
      </c>
      <c r="F94" t="str">
        <f>获奖信息!F92</f>
        <v>普通课题</v>
      </c>
      <c r="G94" t="str">
        <f>获奖信息!G92</f>
        <v>PPT/pdf转World助手（文字提取机器人）</v>
      </c>
      <c r="H94" t="str">
        <f>获奖信息!H92</f>
        <v>是</v>
      </c>
      <c r="I94">
        <f>获奖信息!I92</f>
        <v>1.5</v>
      </c>
      <c r="J94" t="str">
        <f>获奖信息!J92</f>
        <v>杨波</v>
      </c>
      <c r="K94">
        <f>获奖信息!K92</f>
        <v>8613399</v>
      </c>
      <c r="L94">
        <f>获奖信息!L92</f>
        <v>0</v>
      </c>
      <c r="M94">
        <f>获奖信息!M92</f>
        <v>1</v>
      </c>
      <c r="N94">
        <f>获奖信息!N92</f>
        <v>1</v>
      </c>
      <c r="O94">
        <f>获奖信息!O92</f>
        <v>1.5</v>
      </c>
    </row>
    <row r="95" spans="1:15" x14ac:dyDescent="0.2">
      <c r="A95">
        <f>获奖信息!A93</f>
        <v>92</v>
      </c>
      <c r="B95">
        <f>获奖信息!B93</f>
        <v>45901</v>
      </c>
      <c r="C95" t="str">
        <f>获奖信息!C93</f>
        <v>总装科</v>
      </c>
      <c r="D95" t="str">
        <f>获奖信息!D93</f>
        <v>内部获奖</v>
      </c>
      <c r="E95" t="str">
        <f>获奖信息!E93</f>
        <v>数字化课题开发</v>
      </c>
      <c r="F95" t="str">
        <f>获奖信息!F93</f>
        <v>普通课题</v>
      </c>
      <c r="G95" t="str">
        <f>获奖信息!G93</f>
        <v>DL-ZZ-数字化点检分析</v>
      </c>
      <c r="H95" t="str">
        <f>获奖信息!H93</f>
        <v>是</v>
      </c>
      <c r="I95">
        <f>获奖信息!I93</f>
        <v>1.5</v>
      </c>
      <c r="J95" t="str">
        <f>获奖信息!J93</f>
        <v>邢若飞</v>
      </c>
      <c r="K95">
        <f>获奖信息!K93</f>
        <v>8676593</v>
      </c>
      <c r="L95">
        <f>获奖信息!L93</f>
        <v>0</v>
      </c>
      <c r="M95">
        <f>获奖信息!M93</f>
        <v>1</v>
      </c>
      <c r="N95">
        <f>获奖信息!N93</f>
        <v>1</v>
      </c>
      <c r="O95">
        <f>获奖信息!O93</f>
        <v>1.5</v>
      </c>
    </row>
    <row r="96" spans="1:15" x14ac:dyDescent="0.2">
      <c r="A96">
        <f>获奖信息!A94</f>
        <v>93</v>
      </c>
      <c r="B96">
        <f>获奖信息!B94</f>
        <v>45901</v>
      </c>
      <c r="C96" t="str">
        <f>获奖信息!C94</f>
        <v>技术科</v>
      </c>
      <c r="D96" t="str">
        <f>获奖信息!D94</f>
        <v>内部获奖</v>
      </c>
      <c r="E96" t="str">
        <f>获奖信息!E94</f>
        <v>数字化课题开发</v>
      </c>
      <c r="F96" t="str">
        <f>获奖信息!F94</f>
        <v>普通课题</v>
      </c>
      <c r="G96" t="str">
        <f>获奖信息!G94</f>
        <v>通过关键词搜索并打开需要的工艺文件</v>
      </c>
      <c r="H96" t="str">
        <f>获奖信息!H94</f>
        <v>是</v>
      </c>
      <c r="I96">
        <f>获奖信息!I94</f>
        <v>1.5</v>
      </c>
      <c r="J96" t="str">
        <f>获奖信息!J94</f>
        <v>赵伟</v>
      </c>
      <c r="K96">
        <f>获奖信息!K94</f>
        <v>8730579</v>
      </c>
      <c r="L96">
        <f>获奖信息!L94</f>
        <v>0</v>
      </c>
      <c r="M96">
        <f>获奖信息!M94</f>
        <v>1</v>
      </c>
      <c r="N96">
        <f>获奖信息!N94</f>
        <v>1</v>
      </c>
      <c r="O96">
        <f>获奖信息!O94</f>
        <v>1.5</v>
      </c>
    </row>
    <row r="97" spans="1:15" x14ac:dyDescent="0.2">
      <c r="A97">
        <f>获奖信息!A95</f>
        <v>94</v>
      </c>
      <c r="B97">
        <f>获奖信息!B95</f>
        <v>45901</v>
      </c>
      <c r="C97" t="str">
        <f>获奖信息!C95</f>
        <v>生产管理科</v>
      </c>
      <c r="D97" t="str">
        <f>获奖信息!D95</f>
        <v>内部获奖</v>
      </c>
      <c r="E97" t="str">
        <f>获奖信息!E95</f>
        <v>数字化课题开发</v>
      </c>
      <c r="F97" t="str">
        <f>获奖信息!F95</f>
        <v>普通课题</v>
      </c>
      <c r="G97" t="str">
        <f>获奖信息!G95</f>
        <v>提升生产信息传递效率</v>
      </c>
      <c r="H97" t="str">
        <f>获奖信息!H95</f>
        <v>否</v>
      </c>
      <c r="I97">
        <f>获奖信息!I95</f>
        <v>1</v>
      </c>
      <c r="J97" t="str">
        <f>获奖信息!J95</f>
        <v>祝益盛</v>
      </c>
      <c r="K97">
        <f>获奖信息!K95</f>
        <v>8675741</v>
      </c>
      <c r="L97">
        <f>获奖信息!L95</f>
        <v>0</v>
      </c>
      <c r="M97">
        <f>获奖信息!M95</f>
        <v>1</v>
      </c>
      <c r="N97">
        <f>获奖信息!N95</f>
        <v>1</v>
      </c>
      <c r="O97">
        <f>获奖信息!O95</f>
        <v>1</v>
      </c>
    </row>
    <row r="98" spans="1:15" x14ac:dyDescent="0.2">
      <c r="A98">
        <f>获奖信息!A96</f>
        <v>95</v>
      </c>
      <c r="B98">
        <f>获奖信息!B96</f>
        <v>45901</v>
      </c>
      <c r="C98" t="str">
        <f>获奖信息!C96</f>
        <v>品质保证科</v>
      </c>
      <c r="D98" t="str">
        <f>获奖信息!D96</f>
        <v>内部获奖</v>
      </c>
      <c r="E98" t="str">
        <f>获奖信息!E96</f>
        <v>数字化课题开发</v>
      </c>
      <c r="F98" t="str">
        <f>获奖信息!F96</f>
        <v>普通课题</v>
      </c>
      <c r="G98" t="str">
        <f>获奖信息!G96</f>
        <v>表格内容自动查询</v>
      </c>
      <c r="H98" t="str">
        <f>获奖信息!H96</f>
        <v>是</v>
      </c>
      <c r="I98">
        <f>获奖信息!I96</f>
        <v>1.5</v>
      </c>
      <c r="J98" t="str">
        <f>获奖信息!J96</f>
        <v>鲁家嫡</v>
      </c>
      <c r="K98">
        <f>获奖信息!K96</f>
        <v>8683980</v>
      </c>
      <c r="L98">
        <f>获奖信息!L96</f>
        <v>0</v>
      </c>
      <c r="M98">
        <f>获奖信息!M96</f>
        <v>1</v>
      </c>
      <c r="N98">
        <f>获奖信息!N96</f>
        <v>1</v>
      </c>
      <c r="O98">
        <f>获奖信息!O96</f>
        <v>1.5</v>
      </c>
    </row>
    <row r="99" spans="1:15" x14ac:dyDescent="0.2">
      <c r="A99">
        <f>获奖信息!A97</f>
        <v>96</v>
      </c>
      <c r="B99">
        <f>获奖信息!B97</f>
        <v>45901</v>
      </c>
      <c r="C99" t="str">
        <f>获奖信息!C97</f>
        <v>冲焊科</v>
      </c>
      <c r="D99" t="str">
        <f>获奖信息!D97</f>
        <v>内部获奖</v>
      </c>
      <c r="E99" t="str">
        <f>获奖信息!E97</f>
        <v>数字化课题开发</v>
      </c>
      <c r="F99" t="str">
        <f>获奖信息!F97</f>
        <v>普通课题</v>
      </c>
      <c r="G99" t="str">
        <f>获奖信息!G97</f>
        <v>冲焊车间重点点检数据推移</v>
      </c>
      <c r="H99" t="str">
        <f>获奖信息!H97</f>
        <v>是</v>
      </c>
      <c r="I99">
        <f>获奖信息!I97</f>
        <v>1.5</v>
      </c>
      <c r="J99" t="str">
        <f>获奖信息!J97</f>
        <v>时守毅</v>
      </c>
      <c r="K99">
        <f>获奖信息!K97</f>
        <v>8676581</v>
      </c>
      <c r="L99">
        <f>获奖信息!L97</f>
        <v>0</v>
      </c>
      <c r="M99">
        <f>获奖信息!M97</f>
        <v>1</v>
      </c>
      <c r="N99">
        <f>获奖信息!N97</f>
        <v>1</v>
      </c>
      <c r="O99">
        <f>获奖信息!O97</f>
        <v>1.5</v>
      </c>
    </row>
    <row r="100" spans="1:15" x14ac:dyDescent="0.2">
      <c r="A100">
        <f>获奖信息!A98</f>
        <v>97</v>
      </c>
      <c r="B100">
        <f>获奖信息!B98</f>
        <v>45901</v>
      </c>
      <c r="C100" t="str">
        <f>获奖信息!C98</f>
        <v>综合管理科</v>
      </c>
      <c r="D100" t="str">
        <f>获奖信息!D98</f>
        <v>内部获奖</v>
      </c>
      <c r="E100" t="str">
        <f>获奖信息!E98</f>
        <v>数字化课题开发</v>
      </c>
      <c r="F100" t="str">
        <f>获奖信息!F98</f>
        <v>普通课题</v>
      </c>
      <c r="G100" t="str">
        <f>获奖信息!G98</f>
        <v>DOA离职报表每日自动下载</v>
      </c>
      <c r="H100" t="str">
        <f>获奖信息!H98</f>
        <v>否</v>
      </c>
      <c r="I100">
        <f>获奖信息!I98</f>
        <v>1</v>
      </c>
      <c r="J100" t="str">
        <f>获奖信息!J98</f>
        <v>柳菁</v>
      </c>
      <c r="K100">
        <f>获奖信息!K98</f>
        <v>8682839</v>
      </c>
      <c r="L100">
        <f>获奖信息!L98</f>
        <v>0</v>
      </c>
      <c r="M100">
        <f>获奖信息!M98</f>
        <v>1</v>
      </c>
      <c r="N100">
        <f>获奖信息!N98</f>
        <v>1</v>
      </c>
      <c r="O100">
        <f>获奖信息!O98</f>
        <v>1</v>
      </c>
    </row>
    <row r="101" spans="1:15" x14ac:dyDescent="0.2">
      <c r="A101">
        <f>获奖信息!A99</f>
        <v>98</v>
      </c>
      <c r="B101">
        <f>获奖信息!B99</f>
        <v>45901</v>
      </c>
      <c r="C101" t="str">
        <f>获奖信息!C99</f>
        <v>冲焊科</v>
      </c>
      <c r="D101" t="str">
        <f>获奖信息!D99</f>
        <v>内部获奖</v>
      </c>
      <c r="E101" t="str">
        <f>获奖信息!E99</f>
        <v>数字化课题开发</v>
      </c>
      <c r="F101" t="str">
        <f>获奖信息!F99</f>
        <v>普通课题</v>
      </c>
      <c r="G101" t="str">
        <f>获奖信息!G99</f>
        <v>冲压生产信息流程自动化</v>
      </c>
      <c r="H101" t="str">
        <f>获奖信息!H99</f>
        <v>否</v>
      </c>
      <c r="I101">
        <f>获奖信息!I99</f>
        <v>1</v>
      </c>
      <c r="J101" t="str">
        <f>获奖信息!J99</f>
        <v>马永强</v>
      </c>
      <c r="K101">
        <f>获奖信息!K99</f>
        <v>8681179</v>
      </c>
      <c r="L101">
        <f>获奖信息!L99</f>
        <v>0</v>
      </c>
      <c r="M101">
        <f>获奖信息!M99</f>
        <v>1</v>
      </c>
      <c r="N101">
        <f>获奖信息!N99</f>
        <v>1</v>
      </c>
      <c r="O101">
        <f>获奖信息!O99</f>
        <v>1</v>
      </c>
    </row>
    <row r="102" spans="1:15" x14ac:dyDescent="0.2">
      <c r="A102">
        <f>获奖信息!A100</f>
        <v>99</v>
      </c>
      <c r="B102">
        <f>获奖信息!B100</f>
        <v>45901</v>
      </c>
      <c r="C102" t="str">
        <f>获奖信息!C100</f>
        <v>设备动力科</v>
      </c>
      <c r="D102" t="str">
        <f>获奖信息!D100</f>
        <v>内部获奖</v>
      </c>
      <c r="E102" t="str">
        <f>获奖信息!E100</f>
        <v>数字化课题开发</v>
      </c>
      <c r="F102" t="str">
        <f>获奖信息!F100</f>
        <v>普通课题</v>
      </c>
      <c r="G102" t="str">
        <f>获奖信息!G100</f>
        <v>制动液加注机数据分析助手</v>
      </c>
      <c r="H102" t="str">
        <f>获奖信息!H100</f>
        <v>是</v>
      </c>
      <c r="I102">
        <f>获奖信息!I100</f>
        <v>1.5</v>
      </c>
      <c r="J102" t="str">
        <f>获奖信息!J100</f>
        <v>吕永琦</v>
      </c>
      <c r="K102">
        <f>获奖信息!K100</f>
        <v>8719234</v>
      </c>
      <c r="L102">
        <f>获奖信息!L100</f>
        <v>0</v>
      </c>
      <c r="M102">
        <f>获奖信息!M100</f>
        <v>1</v>
      </c>
      <c r="N102">
        <f>获奖信息!N100</f>
        <v>1</v>
      </c>
      <c r="O102">
        <f>获奖信息!O100</f>
        <v>1.5</v>
      </c>
    </row>
    <row r="103" spans="1:15" x14ac:dyDescent="0.2">
      <c r="A103">
        <f>获奖信息!A101</f>
        <v>100</v>
      </c>
      <c r="B103">
        <f>获奖信息!B101</f>
        <v>45901</v>
      </c>
      <c r="C103" t="str">
        <f>获奖信息!C101</f>
        <v>技术科</v>
      </c>
      <c r="D103" t="str">
        <f>获奖信息!D101</f>
        <v>内部获奖</v>
      </c>
      <c r="E103" t="str">
        <f>获奖信息!E101</f>
        <v>数字化课题开发</v>
      </c>
      <c r="F103" t="str">
        <f>获奖信息!F101</f>
        <v>重点课题</v>
      </c>
      <c r="G103" t="str">
        <f>获奖信息!G101</f>
        <v>P32S 要因系管理数据分析助手</v>
      </c>
      <c r="H103" t="str">
        <f>获奖信息!H101</f>
        <v>是</v>
      </c>
      <c r="I103">
        <f>获奖信息!I101</f>
        <v>2.5</v>
      </c>
      <c r="J103" t="str">
        <f>获奖信息!J101</f>
        <v>张程</v>
      </c>
      <c r="K103">
        <f>获奖信息!K101</f>
        <v>8695305</v>
      </c>
      <c r="L103">
        <f>获奖信息!L101</f>
        <v>0</v>
      </c>
      <c r="M103">
        <f>获奖信息!M101</f>
        <v>1</v>
      </c>
      <c r="N103">
        <f>获奖信息!N101</f>
        <v>1</v>
      </c>
      <c r="O103">
        <f>获奖信息!O101</f>
        <v>2.5</v>
      </c>
    </row>
    <row r="104" spans="1:15" x14ac:dyDescent="0.2">
      <c r="A104">
        <f>获奖信息!A102</f>
        <v>101</v>
      </c>
      <c r="B104">
        <f>获奖信息!B102</f>
        <v>45901</v>
      </c>
      <c r="C104" t="str">
        <f>获奖信息!C102</f>
        <v>安技环保科</v>
      </c>
      <c r="D104" t="str">
        <f>获奖信息!D102</f>
        <v>内部获奖</v>
      </c>
      <c r="E104" t="str">
        <f>获奖信息!E102</f>
        <v>数字化课题开发</v>
      </c>
      <c r="F104" t="str">
        <f>获奖信息!F102</f>
        <v>普通课题</v>
      </c>
      <c r="G104" t="str">
        <f>获奖信息!G102</f>
        <v>环境在线监测数据发布自动化</v>
      </c>
      <c r="H104" t="str">
        <f>获奖信息!H102</f>
        <v>否</v>
      </c>
      <c r="I104">
        <f>获奖信息!I102</f>
        <v>1</v>
      </c>
      <c r="J104" t="str">
        <f>获奖信息!J102</f>
        <v>谢天文</v>
      </c>
      <c r="K104">
        <f>获奖信息!K102</f>
        <v>8696816</v>
      </c>
      <c r="L104">
        <f>获奖信息!L102</f>
        <v>0</v>
      </c>
      <c r="M104">
        <f>获奖信息!M102</f>
        <v>1</v>
      </c>
      <c r="N104">
        <f>获奖信息!N102</f>
        <v>1</v>
      </c>
      <c r="O104">
        <f>获奖信息!O102</f>
        <v>1</v>
      </c>
    </row>
    <row r="105" spans="1:15" x14ac:dyDescent="0.2">
      <c r="A105">
        <f>获奖信息!A103</f>
        <v>102</v>
      </c>
      <c r="B105">
        <f>获奖信息!B103</f>
        <v>45901</v>
      </c>
      <c r="C105" t="str">
        <f>获奖信息!C103</f>
        <v>涂树科</v>
      </c>
      <c r="D105" t="str">
        <f>获奖信息!D103</f>
        <v>内部获奖</v>
      </c>
      <c r="E105" t="str">
        <f>获奖信息!E103</f>
        <v>数字化课题开发</v>
      </c>
      <c r="F105" t="str">
        <f>获奖信息!F103</f>
        <v>普通课题</v>
      </c>
      <c r="G105" t="str">
        <f>获奖信息!G103</f>
        <v>喷涂不良智能化分析及改善方向引导</v>
      </c>
      <c r="H105" t="str">
        <f>获奖信息!H103</f>
        <v>否</v>
      </c>
      <c r="I105">
        <f>获奖信息!I103</f>
        <v>1</v>
      </c>
      <c r="J105" t="str">
        <f>获奖信息!J103</f>
        <v>康明聪</v>
      </c>
      <c r="K105">
        <f>获奖信息!K103</f>
        <v>8681396</v>
      </c>
      <c r="L105">
        <f>获奖信息!L103</f>
        <v>0</v>
      </c>
      <c r="M105">
        <f>获奖信息!M103</f>
        <v>1</v>
      </c>
      <c r="N105">
        <f>获奖信息!N103</f>
        <v>1</v>
      </c>
      <c r="O105">
        <f>获奖信息!O103</f>
        <v>1</v>
      </c>
    </row>
    <row r="106" spans="1:15" x14ac:dyDescent="0.2">
      <c r="A106">
        <f>获奖信息!A104</f>
        <v>103</v>
      </c>
      <c r="B106">
        <f>获奖信息!B104</f>
        <v>45901</v>
      </c>
      <c r="C106" t="str">
        <f>获奖信息!C104</f>
        <v>设备动力科</v>
      </c>
      <c r="D106" t="str">
        <f>获奖信息!D104</f>
        <v>内部获奖</v>
      </c>
      <c r="E106" t="str">
        <f>获奖信息!E104</f>
        <v>数字化课题开发</v>
      </c>
      <c r="F106" t="str">
        <f>获奖信息!F104</f>
        <v>普通课题</v>
      </c>
      <c r="G106" t="str">
        <f>获奖信息!G104</f>
        <v>总装底盘视觉检查系统文件自动清理</v>
      </c>
      <c r="H106" t="str">
        <f>获奖信息!H104</f>
        <v>否</v>
      </c>
      <c r="I106">
        <f>获奖信息!I104</f>
        <v>1</v>
      </c>
      <c r="J106" t="str">
        <f>获奖信息!J104</f>
        <v>刘炜华</v>
      </c>
      <c r="K106">
        <f>获奖信息!K104</f>
        <v>8698965</v>
      </c>
      <c r="L106">
        <f>获奖信息!L104</f>
        <v>0</v>
      </c>
      <c r="M106">
        <f>获奖信息!M104</f>
        <v>1</v>
      </c>
      <c r="N106">
        <f>获奖信息!N104</f>
        <v>1</v>
      </c>
      <c r="O106">
        <f>获奖信息!O104</f>
        <v>1</v>
      </c>
    </row>
    <row r="107" spans="1:15" x14ac:dyDescent="0.2">
      <c r="A107">
        <f>获奖信息!A105</f>
        <v>104</v>
      </c>
      <c r="B107">
        <f>获奖信息!B105</f>
        <v>45901</v>
      </c>
      <c r="C107" t="str">
        <f>获奖信息!C105</f>
        <v>设备动力科</v>
      </c>
      <c r="D107" t="str">
        <f>获奖信息!D105</f>
        <v>内部获奖</v>
      </c>
      <c r="E107" t="str">
        <f>获奖信息!E105</f>
        <v>数字化课题开发</v>
      </c>
      <c r="F107" t="str">
        <f>获奖信息!F105</f>
        <v>普通课题</v>
      </c>
      <c r="G107" t="str">
        <f>获奖信息!G105</f>
        <v>轮胎对中台劣化趋势分析软件</v>
      </c>
      <c r="H107" t="str">
        <f>获奖信息!H105</f>
        <v>否</v>
      </c>
      <c r="I107">
        <f>获奖信息!I105</f>
        <v>1</v>
      </c>
      <c r="J107" t="str">
        <f>获奖信息!J105</f>
        <v>刘炜华</v>
      </c>
      <c r="K107">
        <f>获奖信息!K105</f>
        <v>8698965</v>
      </c>
      <c r="L107">
        <f>获奖信息!L105</f>
        <v>0</v>
      </c>
      <c r="M107">
        <f>获奖信息!M105</f>
        <v>1</v>
      </c>
      <c r="N107">
        <f>获奖信息!N105</f>
        <v>1</v>
      </c>
      <c r="O107">
        <f>获奖信息!O105</f>
        <v>1</v>
      </c>
    </row>
    <row r="108" spans="1:15" x14ac:dyDescent="0.2">
      <c r="A108">
        <f>获奖信息!A106</f>
        <v>105</v>
      </c>
      <c r="B108">
        <f>获奖信息!B106</f>
        <v>45901</v>
      </c>
      <c r="C108" t="str">
        <f>获奖信息!C106</f>
        <v>技术科</v>
      </c>
      <c r="D108" t="str">
        <f>获奖信息!D106</f>
        <v>内部获奖</v>
      </c>
      <c r="E108" t="str">
        <f>获奖信息!E106</f>
        <v>数字化课题开发</v>
      </c>
      <c r="F108" t="str">
        <f>获奖信息!F106</f>
        <v>普通课题</v>
      </c>
      <c r="G108" t="str">
        <f>获奖信息!G106</f>
        <v>焊装工艺参数读写与筛选</v>
      </c>
      <c r="H108" t="str">
        <f>获奖信息!H106</f>
        <v>是</v>
      </c>
      <c r="I108">
        <f>获奖信息!I106</f>
        <v>1.5</v>
      </c>
      <c r="J108" t="str">
        <f>获奖信息!J106</f>
        <v>张哲</v>
      </c>
      <c r="K108">
        <f>获奖信息!K106</f>
        <v>8695568</v>
      </c>
      <c r="L108">
        <f>获奖信息!L106</f>
        <v>0</v>
      </c>
      <c r="M108">
        <f>获奖信息!M106</f>
        <v>1</v>
      </c>
      <c r="N108">
        <f>获奖信息!N106</f>
        <v>1</v>
      </c>
      <c r="O108">
        <f>获奖信息!O106</f>
        <v>1.5</v>
      </c>
    </row>
    <row r="109" spans="1:15" x14ac:dyDescent="0.2">
      <c r="A109">
        <f>获奖信息!A107</f>
        <v>106</v>
      </c>
      <c r="B109">
        <f>获奖信息!B107</f>
        <v>45901</v>
      </c>
      <c r="C109" t="str">
        <f>获奖信息!C107</f>
        <v>设备动力科</v>
      </c>
      <c r="D109" t="str">
        <f>获奖信息!D107</f>
        <v>内部获奖</v>
      </c>
      <c r="E109" t="str">
        <f>获奖信息!E107</f>
        <v>数字化课题开发</v>
      </c>
      <c r="F109" t="str">
        <f>获奖信息!F107</f>
        <v>普通课题</v>
      </c>
      <c r="G109" t="str">
        <f>获奖信息!G107</f>
        <v>模具巡线记录分析系统</v>
      </c>
      <c r="H109" t="str">
        <f>获奖信息!H107</f>
        <v>否</v>
      </c>
      <c r="I109">
        <f>获奖信息!I107</f>
        <v>1</v>
      </c>
      <c r="J109" t="str">
        <f>获奖信息!J107</f>
        <v>冷洪来</v>
      </c>
      <c r="K109">
        <f>获奖信息!K107</f>
        <v>8674034</v>
      </c>
      <c r="L109">
        <f>获奖信息!L107</f>
        <v>0</v>
      </c>
      <c r="M109">
        <f>获奖信息!M107</f>
        <v>1</v>
      </c>
      <c r="N109">
        <f>获奖信息!N107</f>
        <v>1</v>
      </c>
      <c r="O109">
        <f>获奖信息!O107</f>
        <v>1</v>
      </c>
    </row>
    <row r="110" spans="1:15" x14ac:dyDescent="0.2">
      <c r="A110">
        <f>获奖信息!A108</f>
        <v>107</v>
      </c>
      <c r="B110">
        <f>获奖信息!B108</f>
        <v>45901</v>
      </c>
      <c r="C110" t="str">
        <f>获奖信息!C108</f>
        <v>涂树科</v>
      </c>
      <c r="D110" t="str">
        <f>获奖信息!D108</f>
        <v>内部获奖</v>
      </c>
      <c r="E110" t="str">
        <f>获奖信息!E108</f>
        <v>数字化课题开发</v>
      </c>
      <c r="F110" t="str">
        <f>获奖信息!F108</f>
        <v>普通课题</v>
      </c>
      <c r="G110" t="str">
        <f>获奖信息!G108</f>
        <v>涂装点检自动分析提醒</v>
      </c>
      <c r="H110" t="str">
        <f>获奖信息!H108</f>
        <v>否</v>
      </c>
      <c r="I110">
        <f>获奖信息!I108</f>
        <v>1</v>
      </c>
      <c r="J110" t="str">
        <f>获奖信息!J108</f>
        <v>纪明达</v>
      </c>
      <c r="K110">
        <f>获奖信息!K108</f>
        <v>8683064</v>
      </c>
      <c r="L110">
        <f>获奖信息!L108</f>
        <v>0</v>
      </c>
      <c r="M110">
        <f>获奖信息!M108</f>
        <v>1</v>
      </c>
      <c r="N110">
        <f>获奖信息!N108</f>
        <v>1</v>
      </c>
      <c r="O110">
        <f>获奖信息!O108</f>
        <v>1</v>
      </c>
    </row>
    <row r="111" spans="1:15" x14ac:dyDescent="0.2">
      <c r="A111">
        <f>获奖信息!A109</f>
        <v>108</v>
      </c>
      <c r="B111">
        <f>获奖信息!B109</f>
        <v>45901</v>
      </c>
      <c r="C111" t="str">
        <f>获奖信息!C109</f>
        <v>大连财务科</v>
      </c>
      <c r="D111" t="str">
        <f>获奖信息!D109</f>
        <v>内部获奖</v>
      </c>
      <c r="E111" t="str">
        <f>获奖信息!E109</f>
        <v>数字化课题开发</v>
      </c>
      <c r="F111" t="str">
        <f>获奖信息!F109</f>
        <v>普通课题</v>
      </c>
      <c r="G111" t="str">
        <f>获奖信息!G109</f>
        <v>签办付款代扣代缴个税邮件提示</v>
      </c>
      <c r="H111" t="str">
        <f>获奖信息!H109</f>
        <v>否</v>
      </c>
      <c r="I111">
        <f>获奖信息!I109</f>
        <v>1</v>
      </c>
      <c r="J111" t="str">
        <f>获奖信息!J109</f>
        <v>庄昌敏</v>
      </c>
      <c r="K111">
        <f>获奖信息!K109</f>
        <v>0</v>
      </c>
      <c r="L111">
        <f>获奖信息!L109</f>
        <v>0</v>
      </c>
      <c r="M111">
        <f>获奖信息!M109</f>
        <v>1</v>
      </c>
      <c r="N111">
        <f>获奖信息!N109</f>
        <v>1</v>
      </c>
      <c r="O111">
        <f>获奖信息!O109</f>
        <v>1</v>
      </c>
    </row>
    <row r="112" spans="1:15" x14ac:dyDescent="0.2">
      <c r="A112">
        <f>获奖信息!A110</f>
        <v>109</v>
      </c>
      <c r="B112">
        <f>获奖信息!B110</f>
        <v>45931</v>
      </c>
      <c r="C112" t="str">
        <f>获奖信息!C110</f>
        <v>品质保证科</v>
      </c>
      <c r="D112" t="str">
        <f>获奖信息!D110</f>
        <v>内部获奖</v>
      </c>
      <c r="E112" t="str">
        <f>获奖信息!E110</f>
        <v>数字化课题开发</v>
      </c>
      <c r="F112" t="str">
        <f>获奖信息!F110</f>
        <v>普通课题</v>
      </c>
      <c r="G112" t="str">
        <f>获奖信息!G110</f>
        <v>DMD诊断进度提醒</v>
      </c>
      <c r="H112" t="str">
        <f>获奖信息!H110</f>
        <v>是</v>
      </c>
      <c r="I112">
        <f>获奖信息!I110</f>
        <v>1.5</v>
      </c>
      <c r="J112" t="str">
        <f>获奖信息!J110</f>
        <v>杨廷奎</v>
      </c>
      <c r="K112">
        <f>获奖信息!K110</f>
        <v>8615236</v>
      </c>
      <c r="L112">
        <f>获奖信息!L110</f>
        <v>0</v>
      </c>
      <c r="M112">
        <f>获奖信息!M110</f>
        <v>1</v>
      </c>
      <c r="N112">
        <f>获奖信息!N110</f>
        <v>1</v>
      </c>
      <c r="O112">
        <f>获奖信息!O110</f>
        <v>1.5</v>
      </c>
    </row>
    <row r="113" spans="1:15" x14ac:dyDescent="0.2">
      <c r="A113">
        <f>获奖信息!A111</f>
        <v>110</v>
      </c>
      <c r="B113">
        <f>获奖信息!B111</f>
        <v>45931</v>
      </c>
      <c r="C113" t="str">
        <f>获奖信息!C111</f>
        <v>技术科</v>
      </c>
      <c r="D113" t="str">
        <f>获奖信息!D111</f>
        <v>内部获奖</v>
      </c>
      <c r="E113" t="str">
        <f>获奖信息!E111</f>
        <v>数字化课题开发</v>
      </c>
      <c r="F113" t="str">
        <f>获奖信息!F111</f>
        <v>普通课题</v>
      </c>
      <c r="G113" t="str">
        <f>获奖信息!G111</f>
        <v>290#骨骼数据预测车体建付</v>
      </c>
      <c r="H113" t="str">
        <f>获奖信息!H111</f>
        <v>是</v>
      </c>
      <c r="I113">
        <f>获奖信息!I111</f>
        <v>1.5</v>
      </c>
      <c r="J113" t="str">
        <f>获奖信息!J111</f>
        <v>刘雨轩</v>
      </c>
      <c r="K113">
        <f>获奖信息!K111</f>
        <v>8722474</v>
      </c>
      <c r="L113">
        <f>获奖信息!L111</f>
        <v>0</v>
      </c>
      <c r="M113">
        <f>获奖信息!M111</f>
        <v>1</v>
      </c>
      <c r="N113">
        <f>获奖信息!N111</f>
        <v>1</v>
      </c>
      <c r="O113">
        <f>获奖信息!O111</f>
        <v>1.5</v>
      </c>
    </row>
    <row r="114" spans="1:15" x14ac:dyDescent="0.2">
      <c r="A114">
        <f>获奖信息!A112</f>
        <v>111</v>
      </c>
      <c r="B114">
        <f>获奖信息!B112</f>
        <v>45931</v>
      </c>
      <c r="C114" t="str">
        <f>获奖信息!C112</f>
        <v>设备动力科</v>
      </c>
      <c r="D114" t="str">
        <f>获奖信息!D112</f>
        <v>内部获奖</v>
      </c>
      <c r="E114" t="str">
        <f>获奖信息!E112</f>
        <v>数字化课题开发</v>
      </c>
      <c r="F114" t="str">
        <f>获奖信息!F112</f>
        <v>普通课题</v>
      </c>
      <c r="G114" t="str">
        <f>获奖信息!G112</f>
        <v>备件管理系统</v>
      </c>
      <c r="H114" t="str">
        <f>获奖信息!H112</f>
        <v>是</v>
      </c>
      <c r="I114">
        <f>获奖信息!I112</f>
        <v>1.5</v>
      </c>
      <c r="J114" t="str">
        <f>获奖信息!J112</f>
        <v>于勇</v>
      </c>
      <c r="K114">
        <f>获奖信息!K112</f>
        <v>8680311</v>
      </c>
      <c r="L114">
        <f>获奖信息!L112</f>
        <v>0</v>
      </c>
      <c r="M114">
        <f>获奖信息!M112</f>
        <v>1</v>
      </c>
      <c r="N114">
        <f>获奖信息!N112</f>
        <v>1</v>
      </c>
      <c r="O114">
        <f>获奖信息!O112</f>
        <v>1.5</v>
      </c>
    </row>
    <row r="115" spans="1:15" x14ac:dyDescent="0.2">
      <c r="A115">
        <f>获奖信息!A113</f>
        <v>112</v>
      </c>
      <c r="B115">
        <f>获奖信息!B113</f>
        <v>45931</v>
      </c>
      <c r="C115" t="str">
        <f>获奖信息!C113</f>
        <v>综合管理科</v>
      </c>
      <c r="D115" t="str">
        <f>获奖信息!D113</f>
        <v>内部获奖</v>
      </c>
      <c r="E115" t="str">
        <f>获奖信息!E113</f>
        <v>数字化课题开发</v>
      </c>
      <c r="F115" t="str">
        <f>获奖信息!F113</f>
        <v>普通课题</v>
      </c>
      <c r="G115" t="str">
        <f>获奖信息!G113</f>
        <v>DOA员工调动报表每日自动下载</v>
      </c>
      <c r="H115" t="str">
        <f>获奖信息!H113</f>
        <v>否</v>
      </c>
      <c r="I115">
        <f>获奖信息!I113</f>
        <v>1</v>
      </c>
      <c r="J115" t="str">
        <f>获奖信息!J113</f>
        <v>柳菁</v>
      </c>
      <c r="K115">
        <f>获奖信息!K113</f>
        <v>8682839</v>
      </c>
      <c r="L115">
        <f>获奖信息!L113</f>
        <v>0</v>
      </c>
      <c r="M115">
        <f>获奖信息!M113</f>
        <v>1</v>
      </c>
      <c r="N115">
        <f>获奖信息!N113</f>
        <v>1</v>
      </c>
      <c r="O115">
        <f>获奖信息!O113</f>
        <v>1</v>
      </c>
    </row>
    <row r="116" spans="1:15" x14ac:dyDescent="0.2">
      <c r="A116">
        <f>获奖信息!A114</f>
        <v>113</v>
      </c>
      <c r="B116">
        <f>获奖信息!B114</f>
        <v>45931</v>
      </c>
      <c r="C116" t="str">
        <f>获奖信息!C114</f>
        <v>技术科</v>
      </c>
      <c r="D116" t="str">
        <f>获奖信息!D114</f>
        <v>内部获奖</v>
      </c>
      <c r="E116" t="str">
        <f>获奖信息!E114</f>
        <v>数字化课题开发</v>
      </c>
      <c r="F116" t="str">
        <f>获奖信息!F114</f>
        <v>普通课题</v>
      </c>
      <c r="G116" t="str">
        <f>获奖信息!G114</f>
        <v>控制模块报文分析</v>
      </c>
      <c r="H116" t="str">
        <f>获奖信息!H114</f>
        <v>是</v>
      </c>
      <c r="I116">
        <f>获奖信息!I114</f>
        <v>1.5</v>
      </c>
      <c r="J116" t="str">
        <f>获奖信息!J114</f>
        <v>谷金鑫</v>
      </c>
      <c r="K116">
        <f>获奖信息!K114</f>
        <v>8683930</v>
      </c>
      <c r="L116">
        <f>获奖信息!L114</f>
        <v>0</v>
      </c>
      <c r="M116">
        <f>获奖信息!M114</f>
        <v>1</v>
      </c>
      <c r="N116">
        <f>获奖信息!N114</f>
        <v>1</v>
      </c>
      <c r="O116">
        <f>获奖信息!O114</f>
        <v>1.5</v>
      </c>
    </row>
    <row r="117" spans="1:15" x14ac:dyDescent="0.2">
      <c r="A117">
        <f>获奖信息!A115</f>
        <v>114</v>
      </c>
      <c r="B117">
        <f>获奖信息!B115</f>
        <v>45931</v>
      </c>
      <c r="C117" t="str">
        <f>获奖信息!C115</f>
        <v>综合管理科</v>
      </c>
      <c r="D117" t="str">
        <f>获奖信息!D115</f>
        <v>内部获奖</v>
      </c>
      <c r="E117" t="str">
        <f>获奖信息!E115</f>
        <v>数字化课题开发</v>
      </c>
      <c r="F117" t="str">
        <f>获奖信息!F115</f>
        <v>普通课题</v>
      </c>
      <c r="G117" t="str">
        <f>获奖信息!G115</f>
        <v>离职登记自动化</v>
      </c>
      <c r="H117" t="str">
        <f>获奖信息!H115</f>
        <v>是</v>
      </c>
      <c r="I117">
        <f>获奖信息!I115</f>
        <v>1.5</v>
      </c>
      <c r="J117" t="str">
        <f>获奖信息!J115</f>
        <v>王忠秋</v>
      </c>
      <c r="K117">
        <f>获奖信息!K115</f>
        <v>8682062</v>
      </c>
      <c r="L117">
        <f>获奖信息!L115</f>
        <v>0</v>
      </c>
      <c r="M117">
        <f>获奖信息!M115</f>
        <v>1</v>
      </c>
      <c r="N117">
        <f>获奖信息!N115</f>
        <v>1</v>
      </c>
      <c r="O117">
        <f>获奖信息!O115</f>
        <v>1.5</v>
      </c>
    </row>
    <row r="118" spans="1:15" x14ac:dyDescent="0.2">
      <c r="A118">
        <f>获奖信息!A116</f>
        <v>115</v>
      </c>
      <c r="B118">
        <f>获奖信息!B116</f>
        <v>45931</v>
      </c>
      <c r="C118" t="str">
        <f>获奖信息!C116</f>
        <v>生产管理科</v>
      </c>
      <c r="D118" t="str">
        <f>获奖信息!D116</f>
        <v>内部获奖</v>
      </c>
      <c r="E118" t="str">
        <f>获奖信息!E116</f>
        <v>数字化课题开发</v>
      </c>
      <c r="F118" t="str">
        <f>获奖信息!F116</f>
        <v>普通课题</v>
      </c>
      <c r="G118" t="str">
        <f>获奖信息!G116</f>
        <v>SAP自动上载数据</v>
      </c>
      <c r="H118" t="str">
        <f>获奖信息!H116</f>
        <v>是</v>
      </c>
      <c r="I118">
        <f>获奖信息!I116</f>
        <v>1.5</v>
      </c>
      <c r="J118" t="str">
        <f>获奖信息!J116</f>
        <v>赵艳双</v>
      </c>
      <c r="K118">
        <f>获奖信息!K116</f>
        <v>8681593</v>
      </c>
      <c r="L118">
        <f>获奖信息!L116</f>
        <v>0</v>
      </c>
      <c r="M118">
        <f>获奖信息!M116</f>
        <v>1</v>
      </c>
      <c r="N118">
        <f>获奖信息!N116</f>
        <v>1</v>
      </c>
      <c r="O118">
        <f>获奖信息!O116</f>
        <v>1.5</v>
      </c>
    </row>
    <row r="119" spans="1:15" x14ac:dyDescent="0.2">
      <c r="A119">
        <f>获奖信息!A117</f>
        <v>116</v>
      </c>
      <c r="B119">
        <f>获奖信息!B117</f>
        <v>45931</v>
      </c>
      <c r="C119" t="str">
        <f>获奖信息!C117</f>
        <v>安技环保科</v>
      </c>
      <c r="D119" t="str">
        <f>获奖信息!D117</f>
        <v>内部获奖</v>
      </c>
      <c r="E119" t="str">
        <f>获奖信息!E117</f>
        <v>数字化课题开发</v>
      </c>
      <c r="F119" t="str">
        <f>获奖信息!F117</f>
        <v>普通课题</v>
      </c>
      <c r="G119" t="str">
        <f>获奖信息!G117</f>
        <v>DFN安全环保管理基准助手</v>
      </c>
      <c r="H119" t="str">
        <f>获奖信息!H117</f>
        <v>否</v>
      </c>
      <c r="I119">
        <f>获奖信息!I117</f>
        <v>1</v>
      </c>
      <c r="J119" t="str">
        <f>获奖信息!J117</f>
        <v>谢天文</v>
      </c>
      <c r="K119">
        <f>获奖信息!K117</f>
        <v>8696816</v>
      </c>
      <c r="L119">
        <f>获奖信息!L117</f>
        <v>0</v>
      </c>
      <c r="M119">
        <f>获奖信息!M117</f>
        <v>1</v>
      </c>
      <c r="N119">
        <f>获奖信息!N117</f>
        <v>1</v>
      </c>
      <c r="O119">
        <f>获奖信息!O117</f>
        <v>1</v>
      </c>
    </row>
    <row r="120" spans="1:15" x14ac:dyDescent="0.2">
      <c r="A120">
        <f>获奖信息!A118</f>
        <v>117</v>
      </c>
      <c r="B120">
        <f>获奖信息!B118</f>
        <v>45931</v>
      </c>
      <c r="C120" t="str">
        <f>获奖信息!C118</f>
        <v>设备动力科</v>
      </c>
      <c r="D120" t="str">
        <f>获奖信息!D118</f>
        <v>内部获奖</v>
      </c>
      <c r="E120" t="str">
        <f>获奖信息!E118</f>
        <v>数字化课题开发</v>
      </c>
      <c r="F120" t="str">
        <f>获奖信息!F118</f>
        <v>普通课题</v>
      </c>
      <c r="G120" t="str">
        <f>获奖信息!G118</f>
        <v>车间生产区域摄像头对人员劳保穿戴的检查</v>
      </c>
      <c r="H120" t="str">
        <f>获奖信息!H118</f>
        <v>否</v>
      </c>
      <c r="I120">
        <f>获奖信息!I118</f>
        <v>1</v>
      </c>
      <c r="J120" t="str">
        <f>获奖信息!J118</f>
        <v>师铮</v>
      </c>
      <c r="K120">
        <f>获奖信息!K118</f>
        <v>8676014</v>
      </c>
      <c r="L120">
        <f>获奖信息!L118</f>
        <v>0</v>
      </c>
      <c r="M120">
        <f>获奖信息!M118</f>
        <v>1</v>
      </c>
      <c r="N120">
        <f>获奖信息!N118</f>
        <v>1</v>
      </c>
      <c r="O120">
        <f>获奖信息!O118</f>
        <v>1</v>
      </c>
    </row>
    <row r="121" spans="1:15" x14ac:dyDescent="0.2">
      <c r="A121">
        <f>获奖信息!A119</f>
        <v>118</v>
      </c>
      <c r="B121">
        <f>获奖信息!B119</f>
        <v>45927</v>
      </c>
      <c r="C121" t="str">
        <f>获奖信息!C119</f>
        <v>工业工程科</v>
      </c>
      <c r="D121" t="str">
        <f>获奖信息!D119</f>
        <v>外部获奖</v>
      </c>
      <c r="E121" t="str">
        <f>获奖信息!E119</f>
        <v>区域级/省级奖项</v>
      </c>
      <c r="F121" t="str">
        <f>获奖信息!F119</f>
        <v>二等奖</v>
      </c>
      <c r="G121" t="str">
        <f>获奖信息!G119</f>
        <v>辽宁省企业管理创新成果</v>
      </c>
      <c r="H121" t="str">
        <f>获奖信息!H119</f>
        <v>否</v>
      </c>
      <c r="I121">
        <f>获奖信息!I119</f>
        <v>3</v>
      </c>
      <c r="J121" t="str">
        <f>获奖信息!J119</f>
        <v>薛晶晶</v>
      </c>
      <c r="K121">
        <f>获奖信息!K119</f>
        <v>8683691</v>
      </c>
      <c r="L121" t="str">
        <f>获奖信息!L119</f>
        <v>基于利润中心模式下整车制造企业降本增效实施</v>
      </c>
      <c r="M121">
        <f>获奖信息!M119</f>
        <v>1</v>
      </c>
      <c r="N121">
        <f>获奖信息!N119</f>
        <v>1</v>
      </c>
      <c r="O121">
        <f>获奖信息!O119</f>
        <v>3</v>
      </c>
    </row>
    <row r="122" spans="1:15" x14ac:dyDescent="0.2">
      <c r="A122">
        <f>获奖信息!A120</f>
        <v>119</v>
      </c>
      <c r="B122">
        <f>获奖信息!B120</f>
        <v>45927</v>
      </c>
      <c r="C122" t="str">
        <f>获奖信息!C120</f>
        <v>工业工程科</v>
      </c>
      <c r="D122" t="str">
        <f>获奖信息!D120</f>
        <v>外部获奖</v>
      </c>
      <c r="E122" t="str">
        <f>获奖信息!E120</f>
        <v>区域级/省级奖项</v>
      </c>
      <c r="F122" t="str">
        <f>获奖信息!F120</f>
        <v>二等奖</v>
      </c>
      <c r="G122" t="str">
        <f>获奖信息!G120</f>
        <v>辽宁省企业管理创新成果</v>
      </c>
      <c r="H122" t="str">
        <f>获奖信息!H120</f>
        <v>否</v>
      </c>
      <c r="I122">
        <f>获奖信息!I120</f>
        <v>3</v>
      </c>
      <c r="J122" t="str">
        <f>获奖信息!J120</f>
        <v>吴广超</v>
      </c>
      <c r="K122">
        <f>获奖信息!K120</f>
        <v>8687765</v>
      </c>
      <c r="L122" t="str">
        <f>获奖信息!L120</f>
        <v>基于敏捷智造理念推动整车制造工厂数字化转型</v>
      </c>
      <c r="M122">
        <f>获奖信息!M120</f>
        <v>1</v>
      </c>
      <c r="N122">
        <f>获奖信息!N120</f>
        <v>1</v>
      </c>
      <c r="O122">
        <f>获奖信息!O120</f>
        <v>3</v>
      </c>
    </row>
    <row r="123" spans="1:15" x14ac:dyDescent="0.2">
      <c r="A123">
        <f>获奖信息!A121</f>
        <v>120</v>
      </c>
      <c r="B123">
        <f>获奖信息!B121</f>
        <v>45927</v>
      </c>
      <c r="C123" t="str">
        <f>获奖信息!C121</f>
        <v>安技环保科</v>
      </c>
      <c r="D123" t="str">
        <f>获奖信息!D121</f>
        <v>外部获奖</v>
      </c>
      <c r="E123" t="str">
        <f>获奖信息!E121</f>
        <v>DFN级/市级奖项</v>
      </c>
      <c r="F123" t="str">
        <f>获奖信息!F121</f>
        <v>二等奖</v>
      </c>
      <c r="G123" t="str">
        <f>获奖信息!G121</f>
        <v>大连市企业管理创新成果</v>
      </c>
      <c r="H123" t="str">
        <f>获奖信息!H121</f>
        <v>否</v>
      </c>
      <c r="I123">
        <f>获奖信息!I121</f>
        <v>2</v>
      </c>
      <c r="J123" t="str">
        <f>获奖信息!J121</f>
        <v>边朝卿</v>
      </c>
      <c r="K123">
        <f>获奖信息!K121</f>
        <v>8715714</v>
      </c>
      <c r="L123" t="str">
        <f>获奖信息!L121</f>
        <v>整车制造工厂健康企业管理机制的构建与实践</v>
      </c>
      <c r="M123">
        <f>获奖信息!M121</f>
        <v>1</v>
      </c>
      <c r="N123">
        <f>获奖信息!N121</f>
        <v>1</v>
      </c>
      <c r="O123">
        <f>获奖信息!O121</f>
        <v>2</v>
      </c>
    </row>
    <row r="124" spans="1:15" x14ac:dyDescent="0.2">
      <c r="A124">
        <f>获奖信息!A122</f>
        <v>121</v>
      </c>
      <c r="B124">
        <f>获奖信息!B122</f>
        <v>45927</v>
      </c>
      <c r="C124" t="str">
        <f>获奖信息!C122</f>
        <v>品质保证科</v>
      </c>
      <c r="D124" t="str">
        <f>获奖信息!D122</f>
        <v>外部获奖</v>
      </c>
      <c r="E124" t="str">
        <f>获奖信息!E122</f>
        <v>DFN级/市级奖项</v>
      </c>
      <c r="F124" t="str">
        <f>获奖信息!F122</f>
        <v>二等奖</v>
      </c>
      <c r="G124" t="str">
        <f>获奖信息!G122</f>
        <v>大连市企业管理创新成果</v>
      </c>
      <c r="H124" t="str">
        <f>获奖信息!H122</f>
        <v>否</v>
      </c>
      <c r="I124">
        <f>获奖信息!I122</f>
        <v>2</v>
      </c>
      <c r="J124" t="str">
        <f>获奖信息!J122</f>
        <v>许红科</v>
      </c>
      <c r="K124">
        <f>获奖信息!K122</f>
        <v>8683928</v>
      </c>
      <c r="L124" t="str">
        <f>获奖信息!L122</f>
        <v>全员质量参与激励机制的游戏化管理实施</v>
      </c>
      <c r="M124">
        <f>获奖信息!M122</f>
        <v>1</v>
      </c>
      <c r="N124">
        <f>获奖信息!N122</f>
        <v>1</v>
      </c>
      <c r="O124">
        <f>获奖信息!O122</f>
        <v>2</v>
      </c>
    </row>
    <row r="125" spans="1:15" x14ac:dyDescent="0.2">
      <c r="A125">
        <f>获奖信息!A123</f>
        <v>122</v>
      </c>
      <c r="B125">
        <f>获奖信息!B123</f>
        <v>45927</v>
      </c>
      <c r="C125" t="str">
        <f>获奖信息!C123</f>
        <v>安技环保科</v>
      </c>
      <c r="D125" t="str">
        <f>获奖信息!D123</f>
        <v>外部获奖</v>
      </c>
      <c r="E125" t="str">
        <f>获奖信息!E123</f>
        <v>DFN级/市级奖项</v>
      </c>
      <c r="F125" t="str">
        <f>获奖信息!F123</f>
        <v>二等奖</v>
      </c>
      <c r="G125" t="str">
        <f>获奖信息!G123</f>
        <v>大连市企业管理创新成果</v>
      </c>
      <c r="H125" t="str">
        <f>获奖信息!H123</f>
        <v>否</v>
      </c>
      <c r="I125">
        <f>获奖信息!I123</f>
        <v>2</v>
      </c>
      <c r="J125" t="str">
        <f>获奖信息!J123</f>
        <v>谢天文</v>
      </c>
      <c r="K125">
        <f>获奖信息!K123</f>
        <v>8696816</v>
      </c>
      <c r="L125" t="str">
        <f>获奖信息!L123</f>
        <v>安全双重预防机制数字化管理模型的构建与应用</v>
      </c>
      <c r="M125">
        <f>获奖信息!M123</f>
        <v>1</v>
      </c>
      <c r="N125">
        <f>获奖信息!N123</f>
        <v>1</v>
      </c>
      <c r="O125">
        <f>获奖信息!O123</f>
        <v>2</v>
      </c>
    </row>
    <row r="126" spans="1:15" x14ac:dyDescent="0.2">
      <c r="A126">
        <f>获奖信息!A124</f>
        <v>123</v>
      </c>
      <c r="B126">
        <f>获奖信息!B124</f>
        <v>45927</v>
      </c>
      <c r="C126" t="str">
        <f>获奖信息!C124</f>
        <v>设备动力科</v>
      </c>
      <c r="D126" t="str">
        <f>获奖信息!D124</f>
        <v>外部获奖</v>
      </c>
      <c r="E126" t="str">
        <f>获奖信息!E124</f>
        <v>DFN级/市级奖项</v>
      </c>
      <c r="F126" t="str">
        <f>获奖信息!F124</f>
        <v>三等奖</v>
      </c>
      <c r="G126" t="str">
        <f>获奖信息!G124</f>
        <v>大连市企业管理创新成果</v>
      </c>
      <c r="H126" t="str">
        <f>获奖信息!H124</f>
        <v>否</v>
      </c>
      <c r="I126">
        <f>获奖信息!I124</f>
        <v>1</v>
      </c>
      <c r="J126" t="str">
        <f>获奖信息!J124</f>
        <v>丁友贺</v>
      </c>
      <c r="K126">
        <f>获奖信息!K124</f>
        <v>8615446</v>
      </c>
      <c r="L126" t="str">
        <f>获奖信息!L124</f>
        <v>整车制造工厂焊接车间机器人节能管理</v>
      </c>
      <c r="M126">
        <f>获奖信息!M124</f>
        <v>1</v>
      </c>
      <c r="N126">
        <f>获奖信息!N124</f>
        <v>1</v>
      </c>
      <c r="O126">
        <f>获奖信息!O124</f>
        <v>1</v>
      </c>
    </row>
    <row r="127" spans="1:15" x14ac:dyDescent="0.2">
      <c r="A127">
        <f>获奖信息!A125</f>
        <v>124</v>
      </c>
      <c r="B127">
        <f>获奖信息!B125</f>
        <v>45927</v>
      </c>
      <c r="C127" t="str">
        <f>获奖信息!C125</f>
        <v>生产管理科</v>
      </c>
      <c r="D127" t="str">
        <f>获奖信息!D125</f>
        <v>外部获奖</v>
      </c>
      <c r="E127" t="str">
        <f>获奖信息!E125</f>
        <v>DFN级/市级奖项</v>
      </c>
      <c r="F127" t="str">
        <f>获奖信息!F125</f>
        <v>三等奖</v>
      </c>
      <c r="G127" t="str">
        <f>获奖信息!G125</f>
        <v>大连市企业管理创新成果</v>
      </c>
      <c r="H127" t="str">
        <f>获奖信息!H125</f>
        <v>否</v>
      </c>
      <c r="I127">
        <f>获奖信息!I125</f>
        <v>1</v>
      </c>
      <c r="J127" t="str">
        <f>获奖信息!J125</f>
        <v>李晓冉</v>
      </c>
      <c r="K127">
        <f>获奖信息!K125</f>
        <v>8722476</v>
      </c>
      <c r="L127" t="str">
        <f>获奖信息!L125</f>
        <v>整车制造工厂灵活生产组织方式应用与实践</v>
      </c>
      <c r="M127">
        <f>获奖信息!M125</f>
        <v>1</v>
      </c>
      <c r="N127">
        <f>获奖信息!N125</f>
        <v>1</v>
      </c>
      <c r="O127">
        <f>获奖信息!O125</f>
        <v>1</v>
      </c>
    </row>
    <row r="128" spans="1:15" x14ac:dyDescent="0.2">
      <c r="A128">
        <f>获奖信息!A126</f>
        <v>125</v>
      </c>
      <c r="B128">
        <f>获奖信息!B126</f>
        <v>45927</v>
      </c>
      <c r="C128" t="str">
        <f>获奖信息!C126</f>
        <v>综合管理科</v>
      </c>
      <c r="D128" t="str">
        <f>获奖信息!D126</f>
        <v>外部获奖</v>
      </c>
      <c r="E128" t="str">
        <f>获奖信息!E126</f>
        <v>DFN级/市级奖项</v>
      </c>
      <c r="F128" t="str">
        <f>获奖信息!F126</f>
        <v>三等奖</v>
      </c>
      <c r="G128" t="str">
        <f>获奖信息!G126</f>
        <v>大连市企业管理创新成果</v>
      </c>
      <c r="H128" t="str">
        <f>获奖信息!H126</f>
        <v>否</v>
      </c>
      <c r="I128">
        <f>获奖信息!I126</f>
        <v>1</v>
      </c>
      <c r="J128" t="str">
        <f>获奖信息!J126</f>
        <v>张艺军</v>
      </c>
      <c r="K128">
        <f>获奖信息!K126</f>
        <v>8684738</v>
      </c>
      <c r="L128" t="str">
        <f>获奖信息!L126</f>
        <v>利用新媒体扩大整车制造企业影响力的探索与实践</v>
      </c>
      <c r="M128">
        <f>获奖信息!M126</f>
        <v>1</v>
      </c>
      <c r="N128">
        <f>获奖信息!N126</f>
        <v>1</v>
      </c>
      <c r="O128">
        <f>获奖信息!O126</f>
        <v>1</v>
      </c>
    </row>
    <row r="129" spans="1:15" x14ac:dyDescent="0.2">
      <c r="A129">
        <f>获奖信息!A127</f>
        <v>126</v>
      </c>
      <c r="B129">
        <f>获奖信息!B127</f>
        <v>45927</v>
      </c>
      <c r="C129" t="str">
        <f>获奖信息!C127</f>
        <v>综合管理科</v>
      </c>
      <c r="D129" t="str">
        <f>获奖信息!D127</f>
        <v>外部获奖</v>
      </c>
      <c r="E129" t="str">
        <f>获奖信息!E127</f>
        <v>DFN级/市级奖项</v>
      </c>
      <c r="F129" t="str">
        <f>获奖信息!F127</f>
        <v>三等奖</v>
      </c>
      <c r="G129" t="str">
        <f>获奖信息!G127</f>
        <v>大连市企业管理创新成果</v>
      </c>
      <c r="H129" t="str">
        <f>获奖信息!H127</f>
        <v>否</v>
      </c>
      <c r="I129">
        <f>获奖信息!I127</f>
        <v>1</v>
      </c>
      <c r="J129" t="str">
        <f>获奖信息!J127</f>
        <v>柳菁</v>
      </c>
      <c r="K129">
        <f>获奖信息!K127</f>
        <v>8682839</v>
      </c>
      <c r="L129" t="str">
        <f>获奖信息!L127</f>
        <v>整车制造企业转型期人员管理优化</v>
      </c>
      <c r="M129">
        <f>获奖信息!M127</f>
        <v>1</v>
      </c>
      <c r="N129">
        <f>获奖信息!N127</f>
        <v>1</v>
      </c>
      <c r="O129">
        <f>获奖信息!O127</f>
        <v>1</v>
      </c>
    </row>
    <row r="130" spans="1:15" x14ac:dyDescent="0.2">
      <c r="A130" t="e">
        <f>获奖信息!#REF!</f>
        <v>#REF!</v>
      </c>
      <c r="B130" t="e">
        <f>获奖信息!#REF!</f>
        <v>#REF!</v>
      </c>
      <c r="C130" t="e">
        <f>获奖信息!#REF!</f>
        <v>#REF!</v>
      </c>
      <c r="D130" t="e">
        <f>获奖信息!#REF!</f>
        <v>#REF!</v>
      </c>
      <c r="E130" t="e">
        <f>获奖信息!#REF!</f>
        <v>#REF!</v>
      </c>
      <c r="F130" t="e">
        <f>获奖信息!#REF!</f>
        <v>#REF!</v>
      </c>
      <c r="G130" t="e">
        <f>获奖信息!#REF!</f>
        <v>#REF!</v>
      </c>
      <c r="H130" t="e">
        <f>获奖信息!#REF!</f>
        <v>#REF!</v>
      </c>
      <c r="I130" t="e">
        <f>获奖信息!#REF!</f>
        <v>#REF!</v>
      </c>
      <c r="J130" t="e">
        <f>获奖信息!#REF!</f>
        <v>#REF!</v>
      </c>
      <c r="K130" t="e">
        <f>获奖信息!#REF!</f>
        <v>#REF!</v>
      </c>
      <c r="L130" t="e">
        <f>获奖信息!#REF!</f>
        <v>#REF!</v>
      </c>
      <c r="M130" t="e">
        <f>获奖信息!#REF!</f>
        <v>#REF!</v>
      </c>
      <c r="N130" t="e">
        <f>获奖信息!#REF!</f>
        <v>#REF!</v>
      </c>
      <c r="O130" t="e">
        <f>获奖信息!#REF!</f>
        <v>#REF!</v>
      </c>
    </row>
    <row r="131" spans="1:15" x14ac:dyDescent="0.2">
      <c r="A131">
        <f>获奖信息!A129</f>
        <v>128</v>
      </c>
      <c r="B131">
        <f>获奖信息!B129</f>
        <v>45809</v>
      </c>
      <c r="C131" t="str">
        <f>获奖信息!C129</f>
        <v>设备动力科</v>
      </c>
      <c r="D131" t="str">
        <f>获奖信息!D129</f>
        <v>外部获奖</v>
      </c>
      <c r="E131" t="str">
        <f>获奖信息!E129</f>
        <v>DFN级/市级奖项</v>
      </c>
      <c r="F131" t="str">
        <f>获奖信息!F129</f>
        <v>三等奖</v>
      </c>
      <c r="G131" t="str">
        <f>获奖信息!G129</f>
        <v>金普新区“工匠杯”职业技能竞赛（装配钳工赛项）</v>
      </c>
      <c r="H131" t="str">
        <f>获奖信息!H129</f>
        <v>否</v>
      </c>
      <c r="I131">
        <f>获奖信息!I129</f>
        <v>1</v>
      </c>
      <c r="J131" t="str">
        <f>获奖信息!J129</f>
        <v>王涛</v>
      </c>
      <c r="K131">
        <f>获奖信息!K129</f>
        <v>8673985</v>
      </c>
      <c r="L131" t="str">
        <f>获奖信息!L129</f>
        <v>第三名</v>
      </c>
      <c r="M131">
        <f>获奖信息!M129</f>
        <v>1</v>
      </c>
      <c r="N131">
        <f>获奖信息!N129</f>
        <v>1</v>
      </c>
      <c r="O131">
        <f>获奖信息!O129</f>
        <v>1</v>
      </c>
    </row>
    <row r="132" spans="1:15" x14ac:dyDescent="0.2">
      <c r="A132">
        <f>获奖信息!A130</f>
        <v>129</v>
      </c>
      <c r="B132">
        <f>获奖信息!B130</f>
        <v>45901</v>
      </c>
      <c r="C132" t="str">
        <f>获奖信息!C130</f>
        <v>工业工程科</v>
      </c>
      <c r="D132" t="str">
        <f>获奖信息!D130</f>
        <v>外部获奖</v>
      </c>
      <c r="E132" t="str">
        <f>获奖信息!E130</f>
        <v>区域级/省级奖项</v>
      </c>
      <c r="F132" t="str">
        <f>获奖信息!F130</f>
        <v>三等奖</v>
      </c>
      <c r="G132" t="str">
        <f>获奖信息!G130</f>
        <v>辽宁省工业机器人职工职业技能大赛</v>
      </c>
      <c r="H132" t="str">
        <f>获奖信息!H130</f>
        <v>否</v>
      </c>
      <c r="I132">
        <f>获奖信息!I130</f>
        <v>2</v>
      </c>
      <c r="J132" t="str">
        <f>获奖信息!J130</f>
        <v>王鸿君</v>
      </c>
      <c r="K132">
        <f>获奖信息!K130</f>
        <v>8679420</v>
      </c>
      <c r="L132" t="str">
        <f>获奖信息!L130</f>
        <v>第三名</v>
      </c>
      <c r="M132">
        <f>获奖信息!M130</f>
        <v>1</v>
      </c>
      <c r="N132">
        <f>获奖信息!N130</f>
        <v>1</v>
      </c>
      <c r="O132">
        <f>获奖信息!O130</f>
        <v>2</v>
      </c>
    </row>
    <row r="133" spans="1:15" x14ac:dyDescent="0.2">
      <c r="A133">
        <f>获奖信息!A131</f>
        <v>130</v>
      </c>
      <c r="B133">
        <f>获奖信息!B131</f>
        <v>45931</v>
      </c>
      <c r="C133" t="str">
        <f>获奖信息!C131</f>
        <v>总装科</v>
      </c>
      <c r="D133" t="str">
        <f>获奖信息!D131</f>
        <v>内部获奖</v>
      </c>
      <c r="E133" t="str">
        <f>获奖信息!E131</f>
        <v>数字化课题开发</v>
      </c>
      <c r="F133" t="str">
        <f>获奖信息!F131</f>
        <v>普通课题</v>
      </c>
      <c r="G133" t="str">
        <f>获奖信息!G131</f>
        <v>DL工厂OA热点推送自动化</v>
      </c>
      <c r="H133" t="str">
        <f>获奖信息!H131</f>
        <v>否</v>
      </c>
      <c r="I133">
        <f>获奖信息!I131</f>
        <v>1</v>
      </c>
      <c r="J133" t="str">
        <f>获奖信息!J131</f>
        <v>汲浩铭</v>
      </c>
      <c r="K133">
        <f>获奖信息!K131</f>
        <v>8674056</v>
      </c>
      <c r="L133">
        <f>获奖信息!L131</f>
        <v>0</v>
      </c>
      <c r="M133">
        <f>获奖信息!M131</f>
        <v>1</v>
      </c>
      <c r="N133">
        <f>获奖信息!N131</f>
        <v>1</v>
      </c>
      <c r="O133">
        <f>获奖信息!O131</f>
        <v>1</v>
      </c>
    </row>
    <row r="134" spans="1:15" x14ac:dyDescent="0.2">
      <c r="A134">
        <f>获奖信息!A132</f>
        <v>131</v>
      </c>
      <c r="B134">
        <f>获奖信息!B132</f>
        <v>45931</v>
      </c>
      <c r="C134" t="str">
        <f>获奖信息!C132</f>
        <v>总装科</v>
      </c>
      <c r="D134" t="str">
        <f>获奖信息!D132</f>
        <v>内部获奖</v>
      </c>
      <c r="E134" t="str">
        <f>获奖信息!E132</f>
        <v>数字化课题开发</v>
      </c>
      <c r="F134" t="str">
        <f>获奖信息!F132</f>
        <v>普通课题</v>
      </c>
      <c r="G134" t="str">
        <f>获奖信息!G132</f>
        <v>DL总装改善数据自动化下载</v>
      </c>
      <c r="H134" t="str">
        <f>获奖信息!H132</f>
        <v>否</v>
      </c>
      <c r="I134">
        <f>获奖信息!I132</f>
        <v>1</v>
      </c>
      <c r="J134" t="str">
        <f>获奖信息!J132</f>
        <v>汲浩铭</v>
      </c>
      <c r="K134">
        <f>获奖信息!K132</f>
        <v>8674056</v>
      </c>
      <c r="L134">
        <f>获奖信息!L132</f>
        <v>0</v>
      </c>
      <c r="M134">
        <f>获奖信息!M132</f>
        <v>1</v>
      </c>
      <c r="N134">
        <f>获奖信息!N132</f>
        <v>1</v>
      </c>
      <c r="O134">
        <f>获奖信息!O132</f>
        <v>1</v>
      </c>
    </row>
    <row r="135" spans="1:15" x14ac:dyDescent="0.2">
      <c r="A135">
        <f>获奖信息!A133</f>
        <v>132</v>
      </c>
      <c r="B135">
        <f>获奖信息!B133</f>
        <v>45931</v>
      </c>
      <c r="C135" t="str">
        <f>获奖信息!C133</f>
        <v>品质保证科</v>
      </c>
      <c r="D135" t="str">
        <f>获奖信息!D133</f>
        <v>内部获奖</v>
      </c>
      <c r="E135" t="str">
        <f>获奖信息!E133</f>
        <v>数字化课题开发</v>
      </c>
      <c r="F135" t="str">
        <f>获奖信息!F133</f>
        <v>普通课题</v>
      </c>
      <c r="G135" t="str">
        <f>获奖信息!G133</f>
        <v>精密测试数据上传TQPM系统自动化导入</v>
      </c>
      <c r="H135" t="str">
        <f>获奖信息!H133</f>
        <v>否</v>
      </c>
      <c r="I135">
        <f>获奖信息!I133</f>
        <v>1</v>
      </c>
      <c r="J135" t="str">
        <f>获奖信息!J133</f>
        <v>于慧缘</v>
      </c>
      <c r="K135">
        <f>获奖信息!K133</f>
        <v>8673998</v>
      </c>
      <c r="L135">
        <f>获奖信息!L133</f>
        <v>0</v>
      </c>
      <c r="M135">
        <f>获奖信息!M133</f>
        <v>1</v>
      </c>
      <c r="N135">
        <f>获奖信息!N133</f>
        <v>1</v>
      </c>
      <c r="O135">
        <f>获奖信息!O133</f>
        <v>1</v>
      </c>
    </row>
    <row r="136" spans="1:15" x14ac:dyDescent="0.2">
      <c r="A136">
        <f>获奖信息!A134</f>
        <v>133</v>
      </c>
      <c r="B136">
        <f>获奖信息!B134</f>
        <v>45931</v>
      </c>
      <c r="C136" t="str">
        <f>获奖信息!C134</f>
        <v>冲焊科</v>
      </c>
      <c r="D136" t="str">
        <f>获奖信息!D134</f>
        <v>内部获奖</v>
      </c>
      <c r="E136" t="str">
        <f>获奖信息!E134</f>
        <v>数字化课题开发</v>
      </c>
      <c r="F136" t="str">
        <f>获奖信息!F134</f>
        <v>普通课题</v>
      </c>
      <c r="G136" t="str">
        <f>获奖信息!G134</f>
        <v>RPA_1_QRQC自动更新机器人</v>
      </c>
      <c r="H136" t="str">
        <f>获奖信息!H134</f>
        <v>否</v>
      </c>
      <c r="I136">
        <f>获奖信息!I134</f>
        <v>1</v>
      </c>
      <c r="J136" t="str">
        <f>获奖信息!J134</f>
        <v>宋畅</v>
      </c>
      <c r="K136">
        <f>获奖信息!K134</f>
        <v>8676591</v>
      </c>
      <c r="L136">
        <f>获奖信息!L134</f>
        <v>0</v>
      </c>
      <c r="M136">
        <f>获奖信息!M134</f>
        <v>1</v>
      </c>
      <c r="N136">
        <f>获奖信息!N134</f>
        <v>1</v>
      </c>
      <c r="O136">
        <f>获奖信息!O134</f>
        <v>1</v>
      </c>
    </row>
    <row r="137" spans="1:15" x14ac:dyDescent="0.2">
      <c r="A137">
        <f>获奖信息!A135</f>
        <v>134</v>
      </c>
      <c r="B137">
        <f>获奖信息!B135</f>
        <v>45839</v>
      </c>
      <c r="C137" t="str">
        <f>获奖信息!C135</f>
        <v>品质保证科</v>
      </c>
      <c r="D137" t="str">
        <f>获奖信息!D135</f>
        <v>外部获奖</v>
      </c>
      <c r="E137" t="str">
        <f>获奖信息!E135</f>
        <v>DFN级/市级奖项</v>
      </c>
      <c r="F137" t="str">
        <f>获奖信息!F135</f>
        <v>二等奖</v>
      </c>
      <c r="G137" t="str">
        <f>获奖信息!G135</f>
        <v>GTC技能大赛</v>
      </c>
      <c r="H137" t="str">
        <f>获奖信息!H135</f>
        <v>否</v>
      </c>
      <c r="I137">
        <f>获奖信息!I135</f>
        <v>2</v>
      </c>
      <c r="J137" t="str">
        <f>获奖信息!J135</f>
        <v>王冬亮</v>
      </c>
      <c r="K137">
        <f>获奖信息!K135</f>
        <v>8674444</v>
      </c>
      <c r="L137">
        <f>获奖信息!L135</f>
        <v>0</v>
      </c>
      <c r="M137">
        <f>获奖信息!M135</f>
        <v>1</v>
      </c>
      <c r="N137">
        <f>获奖信息!N135</f>
        <v>1</v>
      </c>
      <c r="O137">
        <f>获奖信息!O135</f>
        <v>2</v>
      </c>
    </row>
    <row r="138" spans="1:15" x14ac:dyDescent="0.2">
      <c r="A138">
        <f>获奖信息!A136</f>
        <v>135</v>
      </c>
      <c r="B138">
        <f>获奖信息!B136</f>
        <v>45839</v>
      </c>
      <c r="C138" t="str">
        <f>获奖信息!C136</f>
        <v>综合管理科</v>
      </c>
      <c r="D138" t="str">
        <f>获奖信息!D136</f>
        <v>外部获奖</v>
      </c>
      <c r="E138" t="str">
        <f>获奖信息!E136</f>
        <v>DFN级/市级奖项</v>
      </c>
      <c r="F138" t="str">
        <f>获奖信息!F136</f>
        <v>二等奖</v>
      </c>
      <c r="G138" t="str">
        <f>获奖信息!G136</f>
        <v>GTC技能大赛</v>
      </c>
      <c r="H138" t="str">
        <f>获奖信息!H136</f>
        <v>否</v>
      </c>
      <c r="I138">
        <f>获奖信息!I136</f>
        <v>2</v>
      </c>
      <c r="J138" t="str">
        <f>获奖信息!J136</f>
        <v>张艺军</v>
      </c>
      <c r="K138">
        <f>获奖信息!K136</f>
        <v>8684738</v>
      </c>
      <c r="L138">
        <f>获奖信息!L136</f>
        <v>0</v>
      </c>
      <c r="M138">
        <f>获奖信息!M136</f>
        <v>0.25</v>
      </c>
      <c r="N138">
        <f>获奖信息!N136</f>
        <v>1</v>
      </c>
      <c r="O138">
        <f>获奖信息!O136</f>
        <v>0.5</v>
      </c>
    </row>
    <row r="139" spans="1:15" x14ac:dyDescent="0.2">
      <c r="A139">
        <f>获奖信息!A137</f>
        <v>136</v>
      </c>
      <c r="B139">
        <f>获奖信息!B137</f>
        <v>45839</v>
      </c>
      <c r="C139" t="str">
        <f>获奖信息!C137</f>
        <v>党群工作室</v>
      </c>
      <c r="D139" t="str">
        <f>获奖信息!D137</f>
        <v>外部获奖</v>
      </c>
      <c r="E139" t="str">
        <f>获奖信息!E137</f>
        <v>DFN级/市级奖项</v>
      </c>
      <c r="F139" t="str">
        <f>获奖信息!F137</f>
        <v>二等奖</v>
      </c>
      <c r="G139" t="str">
        <f>获奖信息!G137</f>
        <v>GTC技能大赛</v>
      </c>
      <c r="H139" t="str">
        <f>获奖信息!H137</f>
        <v>否</v>
      </c>
      <c r="I139">
        <f>获奖信息!I137</f>
        <v>2</v>
      </c>
      <c r="J139" t="str">
        <f>获奖信息!J137</f>
        <v>李秉霖</v>
      </c>
      <c r="K139">
        <f>获奖信息!K137</f>
        <v>8682042</v>
      </c>
      <c r="L139">
        <f>获奖信息!L137</f>
        <v>0</v>
      </c>
      <c r="M139">
        <f>获奖信息!M137</f>
        <v>0.25</v>
      </c>
      <c r="N139">
        <f>获奖信息!N137</f>
        <v>1</v>
      </c>
      <c r="O139">
        <f>获奖信息!O137</f>
        <v>0.5</v>
      </c>
    </row>
    <row r="140" spans="1:15" x14ac:dyDescent="0.2">
      <c r="A140">
        <f>获奖信息!A138</f>
        <v>137</v>
      </c>
      <c r="B140">
        <f>获奖信息!B138</f>
        <v>45839</v>
      </c>
      <c r="C140" t="str">
        <f>获奖信息!C138</f>
        <v>党群工作室</v>
      </c>
      <c r="D140" t="str">
        <f>获奖信息!D138</f>
        <v>外部获奖</v>
      </c>
      <c r="E140" t="str">
        <f>获奖信息!E138</f>
        <v>DFN级/市级奖项</v>
      </c>
      <c r="F140" t="str">
        <f>获奖信息!F138</f>
        <v>二等奖</v>
      </c>
      <c r="G140" t="str">
        <f>获奖信息!G138</f>
        <v>GTC技能大赛</v>
      </c>
      <c r="H140" t="str">
        <f>获奖信息!H138</f>
        <v>否</v>
      </c>
      <c r="I140">
        <f>获奖信息!I138</f>
        <v>2</v>
      </c>
      <c r="J140" t="str">
        <f>获奖信息!J138</f>
        <v>马春震</v>
      </c>
      <c r="K140">
        <f>获奖信息!K138</f>
        <v>8688875</v>
      </c>
      <c r="L140">
        <f>获奖信息!L138</f>
        <v>0</v>
      </c>
      <c r="M140">
        <f>获奖信息!M138</f>
        <v>0.25</v>
      </c>
      <c r="N140">
        <f>获奖信息!N138</f>
        <v>1</v>
      </c>
      <c r="O140">
        <f>获奖信息!O138</f>
        <v>0.5</v>
      </c>
    </row>
    <row r="141" spans="1:15" x14ac:dyDescent="0.2">
      <c r="A141">
        <f>获奖信息!A139</f>
        <v>138</v>
      </c>
      <c r="B141">
        <f>获奖信息!B139</f>
        <v>45839</v>
      </c>
      <c r="C141" t="str">
        <f>获奖信息!C139</f>
        <v>党群工作室</v>
      </c>
      <c r="D141" t="str">
        <f>获奖信息!D139</f>
        <v>外部获奖</v>
      </c>
      <c r="E141" t="str">
        <f>获奖信息!E139</f>
        <v>DFN级/市级奖项</v>
      </c>
      <c r="F141" t="str">
        <f>获奖信息!F139</f>
        <v>二等奖</v>
      </c>
      <c r="G141" t="str">
        <f>获奖信息!G139</f>
        <v>GTC技能大赛</v>
      </c>
      <c r="H141" t="str">
        <f>获奖信息!H139</f>
        <v>否</v>
      </c>
      <c r="I141">
        <f>获奖信息!I139</f>
        <v>2</v>
      </c>
      <c r="J141" t="str">
        <f>获奖信息!J139</f>
        <v>史博文</v>
      </c>
      <c r="K141">
        <f>获奖信息!K139</f>
        <v>8681190</v>
      </c>
      <c r="L141">
        <f>获奖信息!L139</f>
        <v>0</v>
      </c>
      <c r="M141">
        <f>获奖信息!M139</f>
        <v>0.25</v>
      </c>
      <c r="N141">
        <f>获奖信息!N139</f>
        <v>1</v>
      </c>
      <c r="O141">
        <f>获奖信息!O139</f>
        <v>0.5</v>
      </c>
    </row>
    <row r="142" spans="1:15" x14ac:dyDescent="0.2">
      <c r="A142">
        <f>获奖信息!A140</f>
        <v>139</v>
      </c>
      <c r="B142">
        <f>获奖信息!B140</f>
        <v>45839</v>
      </c>
      <c r="C142" t="str">
        <f>获奖信息!C140</f>
        <v>设备动力科</v>
      </c>
      <c r="D142" t="str">
        <f>获奖信息!D140</f>
        <v>外部获奖</v>
      </c>
      <c r="E142" t="str">
        <f>获奖信息!E140</f>
        <v>DFN级/市级奖项</v>
      </c>
      <c r="F142" t="str">
        <f>获奖信息!F140</f>
        <v>三等奖</v>
      </c>
      <c r="G142" t="str">
        <f>获奖信息!G140</f>
        <v>GTC技能大赛</v>
      </c>
      <c r="H142" t="str">
        <f>获奖信息!H140</f>
        <v>否</v>
      </c>
      <c r="I142">
        <f>获奖信息!I140</f>
        <v>1</v>
      </c>
      <c r="J142" t="str">
        <f>获奖信息!J140</f>
        <v>卢献伟</v>
      </c>
      <c r="K142">
        <f>获奖信息!K140</f>
        <v>8679999</v>
      </c>
      <c r="L142">
        <f>获奖信息!L140</f>
        <v>0</v>
      </c>
      <c r="M142">
        <f>获奖信息!M140</f>
        <v>0.5</v>
      </c>
      <c r="N142">
        <f>获奖信息!N140</f>
        <v>1</v>
      </c>
      <c r="O142">
        <f>获奖信息!O140</f>
        <v>0.5</v>
      </c>
    </row>
    <row r="143" spans="1:15" x14ac:dyDescent="0.2">
      <c r="A143">
        <f>获奖信息!A141</f>
        <v>140</v>
      </c>
      <c r="B143">
        <f>获奖信息!B141</f>
        <v>45839</v>
      </c>
      <c r="C143" t="str">
        <f>获奖信息!C141</f>
        <v>设备动力科</v>
      </c>
      <c r="D143" t="str">
        <f>获奖信息!D141</f>
        <v>外部获奖</v>
      </c>
      <c r="E143" t="str">
        <f>获奖信息!E141</f>
        <v>DFN级/市级奖项</v>
      </c>
      <c r="F143" t="str">
        <f>获奖信息!F141</f>
        <v>三等奖</v>
      </c>
      <c r="G143" t="str">
        <f>获奖信息!G141</f>
        <v>GTC技能大赛</v>
      </c>
      <c r="H143" t="str">
        <f>获奖信息!H141</f>
        <v>否</v>
      </c>
      <c r="I143">
        <f>获奖信息!I141</f>
        <v>1</v>
      </c>
      <c r="J143" t="str">
        <f>获奖信息!J141</f>
        <v>姜宗远</v>
      </c>
      <c r="K143">
        <f>获奖信息!K141</f>
        <v>8673982</v>
      </c>
      <c r="L143">
        <f>获奖信息!L141</f>
        <v>0</v>
      </c>
      <c r="M143">
        <f>获奖信息!M141</f>
        <v>0.5</v>
      </c>
      <c r="N143">
        <f>获奖信息!N141</f>
        <v>1</v>
      </c>
      <c r="O143">
        <f>获奖信息!O141</f>
        <v>0.5</v>
      </c>
    </row>
    <row r="144" spans="1:15" x14ac:dyDescent="0.2">
      <c r="A144">
        <f>获奖信息!A142</f>
        <v>141</v>
      </c>
      <c r="B144">
        <f>获奖信息!B142</f>
        <v>45962</v>
      </c>
      <c r="C144" t="str">
        <f>获奖信息!C142</f>
        <v>品质保证科</v>
      </c>
      <c r="D144" t="str">
        <f>获奖信息!D142</f>
        <v>内部获奖</v>
      </c>
      <c r="E144" t="str">
        <f>获奖信息!E142</f>
        <v>数字化课题开发</v>
      </c>
      <c r="F144" t="str">
        <f>获奖信息!F142</f>
        <v>普通课题</v>
      </c>
      <c r="G144" t="str">
        <f>获奖信息!G142</f>
        <v>N7市场TR自动分析及日报发送</v>
      </c>
      <c r="H144" t="str">
        <f>获奖信息!H142</f>
        <v>是</v>
      </c>
      <c r="I144">
        <f>获奖信息!I142</f>
        <v>1.5</v>
      </c>
      <c r="J144" t="str">
        <f>获奖信息!J142</f>
        <v>乔传泉</v>
      </c>
      <c r="K144">
        <f>获奖信息!K142</f>
        <v>8687986</v>
      </c>
      <c r="L144">
        <f>获奖信息!L142</f>
        <v>0</v>
      </c>
      <c r="M144">
        <f>获奖信息!M142</f>
        <v>1</v>
      </c>
      <c r="N144">
        <f>获奖信息!N142</f>
        <v>1</v>
      </c>
      <c r="O144">
        <f>获奖信息!O142</f>
        <v>1.5</v>
      </c>
    </row>
    <row r="145" spans="1:15" x14ac:dyDescent="0.2">
      <c r="A145">
        <f>获奖信息!A143</f>
        <v>142</v>
      </c>
      <c r="B145">
        <f>获奖信息!B143</f>
        <v>45962</v>
      </c>
      <c r="C145" t="str">
        <f>获奖信息!C143</f>
        <v>总装科</v>
      </c>
      <c r="D145" t="str">
        <f>获奖信息!D143</f>
        <v>内部获奖</v>
      </c>
      <c r="E145" t="str">
        <f>获奖信息!E143</f>
        <v>数字化课题开发</v>
      </c>
      <c r="F145" t="str">
        <f>获奖信息!F143</f>
        <v>普通课题</v>
      </c>
      <c r="G145" t="str">
        <f>获奖信息!G143</f>
        <v>DL总装品质数据自动化下载</v>
      </c>
      <c r="H145" t="str">
        <f>获奖信息!H143</f>
        <v>是</v>
      </c>
      <c r="I145">
        <f>获奖信息!I143</f>
        <v>1.5</v>
      </c>
      <c r="J145" t="str">
        <f>获奖信息!J143</f>
        <v>孙浩</v>
      </c>
      <c r="K145">
        <f>获奖信息!K143</f>
        <v>8676584</v>
      </c>
      <c r="L145">
        <f>获奖信息!L143</f>
        <v>0</v>
      </c>
      <c r="M145">
        <f>获奖信息!M143</f>
        <v>1</v>
      </c>
      <c r="N145">
        <f>获奖信息!N143</f>
        <v>1</v>
      </c>
      <c r="O145">
        <f>获奖信息!O143</f>
        <v>1.5</v>
      </c>
    </row>
    <row r="146" spans="1:15" x14ac:dyDescent="0.2">
      <c r="A146">
        <f>获奖信息!A144</f>
        <v>143</v>
      </c>
      <c r="B146">
        <f>获奖信息!B144</f>
        <v>45962</v>
      </c>
      <c r="C146" t="str">
        <f>获奖信息!C144</f>
        <v>涂树科</v>
      </c>
      <c r="D146" t="str">
        <f>获奖信息!D144</f>
        <v>内部获奖</v>
      </c>
      <c r="E146" t="str">
        <f>获奖信息!E144</f>
        <v>数字化课题开发</v>
      </c>
      <c r="F146" t="str">
        <f>获奖信息!F144</f>
        <v>重点课题</v>
      </c>
      <c r="G146" t="str">
        <f>获奖信息!G144</f>
        <v>涂树信息平台-返工信息录入追溯</v>
      </c>
      <c r="H146" t="str">
        <f>获奖信息!H144</f>
        <v>否</v>
      </c>
      <c r="I146">
        <f>获奖信息!I144</f>
        <v>2</v>
      </c>
      <c r="J146" t="str">
        <f>获奖信息!J144</f>
        <v>康明聪</v>
      </c>
      <c r="K146">
        <f>获奖信息!K144</f>
        <v>8681396</v>
      </c>
      <c r="L146">
        <f>获奖信息!L144</f>
        <v>0</v>
      </c>
      <c r="M146">
        <f>获奖信息!M144</f>
        <v>1</v>
      </c>
      <c r="N146">
        <f>获奖信息!N144</f>
        <v>1</v>
      </c>
      <c r="O146">
        <f>获奖信息!O144</f>
        <v>2</v>
      </c>
    </row>
    <row r="147" spans="1:15" x14ac:dyDescent="0.2">
      <c r="A147">
        <f>获奖信息!A145</f>
        <v>144</v>
      </c>
      <c r="B147">
        <f>获奖信息!B145</f>
        <v>45962</v>
      </c>
      <c r="C147" t="str">
        <f>获奖信息!C145</f>
        <v>品质保证科</v>
      </c>
      <c r="D147" t="str">
        <f>获奖信息!D145</f>
        <v>内部获奖</v>
      </c>
      <c r="E147" t="str">
        <f>获奖信息!E145</f>
        <v>数字化课题开发</v>
      </c>
      <c r="F147" t="str">
        <f>获奖信息!F145</f>
        <v>普通课题</v>
      </c>
      <c r="G147" t="str">
        <f>获奖信息!G145</f>
        <v>QIC单临期自动提醒</v>
      </c>
      <c r="H147" t="str">
        <f>获奖信息!H145</f>
        <v>是</v>
      </c>
      <c r="I147">
        <f>获奖信息!I145</f>
        <v>1.5</v>
      </c>
      <c r="J147" t="str">
        <f>获奖信息!J145</f>
        <v>潘峰</v>
      </c>
      <c r="K147">
        <f>获奖信息!K145</f>
        <v>8613369</v>
      </c>
      <c r="L147">
        <f>获奖信息!L145</f>
        <v>0</v>
      </c>
      <c r="M147">
        <f>获奖信息!M145</f>
        <v>1</v>
      </c>
      <c r="N147">
        <f>获奖信息!N145</f>
        <v>1</v>
      </c>
      <c r="O147">
        <f>获奖信息!O145</f>
        <v>1.5</v>
      </c>
    </row>
    <row r="148" spans="1:15" x14ac:dyDescent="0.2">
      <c r="A148">
        <f>获奖信息!A146</f>
        <v>145</v>
      </c>
      <c r="B148">
        <f>获奖信息!B146</f>
        <v>45962</v>
      </c>
      <c r="C148" t="str">
        <f>获奖信息!C146</f>
        <v>设备动力科</v>
      </c>
      <c r="D148" t="str">
        <f>获奖信息!D146</f>
        <v>内部获奖</v>
      </c>
      <c r="E148" t="str">
        <f>获奖信息!E146</f>
        <v>数字化课题开发</v>
      </c>
      <c r="F148" t="str">
        <f>获奖信息!F146</f>
        <v>普通课题</v>
      </c>
      <c r="G148" t="str">
        <f>获奖信息!G146</f>
        <v>大连工厂工会助手</v>
      </c>
      <c r="H148" t="str">
        <f>获奖信息!H146</f>
        <v>是</v>
      </c>
      <c r="I148">
        <f>获奖信息!I146</f>
        <v>1.5</v>
      </c>
      <c r="J148" t="str">
        <f>获奖信息!J146</f>
        <v>王元成</v>
      </c>
      <c r="K148">
        <f>获奖信息!K146</f>
        <v>8674030</v>
      </c>
      <c r="L148">
        <f>获奖信息!L146</f>
        <v>0</v>
      </c>
      <c r="M148">
        <f>获奖信息!M146</f>
        <v>1</v>
      </c>
      <c r="N148">
        <f>获奖信息!N146</f>
        <v>1</v>
      </c>
      <c r="O148">
        <f>获奖信息!O146</f>
        <v>1.5</v>
      </c>
    </row>
    <row r="149" spans="1:15" x14ac:dyDescent="0.2">
      <c r="A149">
        <f>获奖信息!A147</f>
        <v>146</v>
      </c>
      <c r="B149">
        <f>获奖信息!B147</f>
        <v>45962</v>
      </c>
      <c r="C149" t="str">
        <f>获奖信息!C147</f>
        <v>总装科</v>
      </c>
      <c r="D149" t="str">
        <f>获奖信息!D147</f>
        <v>内部获奖</v>
      </c>
      <c r="E149" t="str">
        <f>获奖信息!E147</f>
        <v>数字化课题开发</v>
      </c>
      <c r="F149" t="str">
        <f>获奖信息!F147</f>
        <v>普通课题</v>
      </c>
      <c r="G149" t="str">
        <f>获奖信息!G147</f>
        <v>力矩校正仪无线传输数据</v>
      </c>
      <c r="H149" t="str">
        <f>获奖信息!H147</f>
        <v>是</v>
      </c>
      <c r="I149">
        <f>获奖信息!I147</f>
        <v>1.5</v>
      </c>
      <c r="J149" t="str">
        <f>获奖信息!J147</f>
        <v>周洁</v>
      </c>
      <c r="K149">
        <f>获奖信息!K147</f>
        <v>8679950</v>
      </c>
      <c r="L149">
        <f>获奖信息!L147</f>
        <v>0</v>
      </c>
      <c r="M149">
        <f>获奖信息!M147</f>
        <v>1</v>
      </c>
      <c r="N149">
        <f>获奖信息!N147</f>
        <v>1</v>
      </c>
      <c r="O149">
        <f>获奖信息!O147</f>
        <v>1.5</v>
      </c>
    </row>
    <row r="150" spans="1:15" x14ac:dyDescent="0.2">
      <c r="A150">
        <f>获奖信息!A148</f>
        <v>147</v>
      </c>
      <c r="B150">
        <f>获奖信息!B148</f>
        <v>45962</v>
      </c>
      <c r="C150" t="str">
        <f>获奖信息!C148</f>
        <v>技术科</v>
      </c>
      <c r="D150" t="str">
        <f>获奖信息!D148</f>
        <v>内部获奖</v>
      </c>
      <c r="E150" t="str">
        <f>获奖信息!E148</f>
        <v>数字化课题开发</v>
      </c>
      <c r="F150" t="str">
        <f>获奖信息!F148</f>
        <v>普通课题</v>
      </c>
      <c r="G150" t="str">
        <f>获奖信息!G148</f>
        <v>DL焊装滚边工艺机器人涂折边胶参数的提取</v>
      </c>
      <c r="H150" t="str">
        <f>获奖信息!H148</f>
        <v>是</v>
      </c>
      <c r="I150">
        <f>获奖信息!I148</f>
        <v>1.5</v>
      </c>
      <c r="J150" t="str">
        <f>获奖信息!J148</f>
        <v>王波</v>
      </c>
      <c r="K150">
        <f>获奖信息!K148</f>
        <v>8692280</v>
      </c>
      <c r="L150">
        <f>获奖信息!L148</f>
        <v>0</v>
      </c>
      <c r="M150">
        <f>获奖信息!M148</f>
        <v>1</v>
      </c>
      <c r="N150">
        <f>获奖信息!N148</f>
        <v>1</v>
      </c>
      <c r="O150">
        <f>获奖信息!O148</f>
        <v>1.5</v>
      </c>
    </row>
    <row r="151" spans="1:15" x14ac:dyDescent="0.2">
      <c r="A151">
        <f>获奖信息!A149</f>
        <v>148</v>
      </c>
      <c r="B151">
        <f>获奖信息!B149</f>
        <v>45962</v>
      </c>
      <c r="C151" t="str">
        <f>获奖信息!C149</f>
        <v>综合管理科</v>
      </c>
      <c r="D151" t="str">
        <f>获奖信息!D149</f>
        <v>内部获奖</v>
      </c>
      <c r="E151" t="str">
        <f>获奖信息!E149</f>
        <v>数字化课题开发</v>
      </c>
      <c r="F151" t="str">
        <f>获奖信息!F149</f>
        <v>普通课题</v>
      </c>
      <c r="G151" t="str">
        <f>获奖信息!G149</f>
        <v>员工培训咨询事项指引</v>
      </c>
      <c r="H151" t="str">
        <f>获奖信息!H149</f>
        <v>是</v>
      </c>
      <c r="I151">
        <f>获奖信息!I149</f>
        <v>1.5</v>
      </c>
      <c r="J151" t="str">
        <f>获奖信息!J149</f>
        <v>华运崇</v>
      </c>
      <c r="K151">
        <f>获奖信息!K149</f>
        <v>8730581</v>
      </c>
      <c r="L151">
        <f>获奖信息!L149</f>
        <v>0</v>
      </c>
      <c r="M151">
        <f>获奖信息!M149</f>
        <v>1</v>
      </c>
      <c r="N151">
        <f>获奖信息!N149</f>
        <v>1</v>
      </c>
      <c r="O151">
        <f>获奖信息!O149</f>
        <v>1.5</v>
      </c>
    </row>
    <row r="152" spans="1:15" x14ac:dyDescent="0.2">
      <c r="A152">
        <f>获奖信息!A150</f>
        <v>149</v>
      </c>
      <c r="B152">
        <f>获奖信息!B150</f>
        <v>45962</v>
      </c>
      <c r="C152" t="str">
        <f>获奖信息!C150</f>
        <v>品质保证科</v>
      </c>
      <c r="D152" t="str">
        <f>获奖信息!D150</f>
        <v>内部获奖</v>
      </c>
      <c r="E152" t="str">
        <f>获奖信息!E150</f>
        <v>数字化课题开发</v>
      </c>
      <c r="F152" t="str">
        <f>获奖信息!F150</f>
        <v>普通课题</v>
      </c>
      <c r="G152" t="str">
        <f>获奖信息!G150</f>
        <v>整车品质问题及解析对策查询助手</v>
      </c>
      <c r="H152" t="str">
        <f>获奖信息!H150</f>
        <v>否</v>
      </c>
      <c r="I152">
        <f>获奖信息!I150</f>
        <v>1</v>
      </c>
      <c r="J152" t="str">
        <f>获奖信息!J150</f>
        <v>于慧缘</v>
      </c>
      <c r="K152">
        <f>获奖信息!K150</f>
        <v>8673998</v>
      </c>
      <c r="L152">
        <f>获奖信息!L150</f>
        <v>0</v>
      </c>
      <c r="M152">
        <f>获奖信息!M150</f>
        <v>1</v>
      </c>
      <c r="N152">
        <f>获奖信息!N150</f>
        <v>1</v>
      </c>
      <c r="O152">
        <f>获奖信息!O150</f>
        <v>1</v>
      </c>
    </row>
    <row r="153" spans="1:15" x14ac:dyDescent="0.2">
      <c r="A153">
        <f>获奖信息!A151</f>
        <v>150</v>
      </c>
      <c r="B153">
        <f>获奖信息!B151</f>
        <v>45962</v>
      </c>
      <c r="C153" t="str">
        <f>获奖信息!C151</f>
        <v>品质保证科</v>
      </c>
      <c r="D153" t="str">
        <f>获奖信息!D151</f>
        <v>内部获奖</v>
      </c>
      <c r="E153" t="str">
        <f>获奖信息!E151</f>
        <v>数字化课题开发</v>
      </c>
      <c r="F153" t="str">
        <f>获奖信息!F151</f>
        <v>普通课题</v>
      </c>
      <c r="G153" t="str">
        <f>获奖信息!G151</f>
        <v>最大转向角信息自动录入</v>
      </c>
      <c r="H153" t="str">
        <f>获奖信息!H151</f>
        <v>是</v>
      </c>
      <c r="I153">
        <f>获奖信息!I151</f>
        <v>1.5</v>
      </c>
      <c r="J153" t="str">
        <f>获奖信息!J151</f>
        <v>马长亮</v>
      </c>
      <c r="K153">
        <f>获奖信息!K151</f>
        <v>8613616</v>
      </c>
      <c r="L153">
        <f>获奖信息!L151</f>
        <v>0</v>
      </c>
      <c r="M153">
        <f>获奖信息!M151</f>
        <v>1</v>
      </c>
      <c r="N153">
        <f>获奖信息!N151</f>
        <v>1</v>
      </c>
      <c r="O153">
        <f>获奖信息!O151</f>
        <v>1.5</v>
      </c>
    </row>
    <row r="154" spans="1:15" x14ac:dyDescent="0.2">
      <c r="A154">
        <f>获奖信息!A152</f>
        <v>151</v>
      </c>
      <c r="B154">
        <f>获奖信息!B152</f>
        <v>45962</v>
      </c>
      <c r="C154" t="str">
        <f>获奖信息!C152</f>
        <v>安技环保科</v>
      </c>
      <c r="D154" t="str">
        <f>获奖信息!D152</f>
        <v>内部获奖</v>
      </c>
      <c r="E154" t="str">
        <f>获奖信息!E152</f>
        <v>数字化课题开发</v>
      </c>
      <c r="F154" t="str">
        <f>获奖信息!F152</f>
        <v>普通课题</v>
      </c>
      <c r="G154" t="str">
        <f>获奖信息!G152</f>
        <v>职业健康档案一页纸</v>
      </c>
      <c r="H154" t="str">
        <f>获奖信息!H152</f>
        <v>是</v>
      </c>
      <c r="I154">
        <f>获奖信息!I152</f>
        <v>1.5</v>
      </c>
      <c r="J154" t="str">
        <f>获奖信息!J152</f>
        <v>边朝卿</v>
      </c>
      <c r="K154">
        <f>获奖信息!K152</f>
        <v>8715714</v>
      </c>
      <c r="L154">
        <f>获奖信息!L152</f>
        <v>0</v>
      </c>
      <c r="M154">
        <f>获奖信息!M152</f>
        <v>1</v>
      </c>
      <c r="N154">
        <f>获奖信息!N152</f>
        <v>1</v>
      </c>
      <c r="O154">
        <f>获奖信息!O152</f>
        <v>1.5</v>
      </c>
    </row>
    <row r="155" spans="1:15" x14ac:dyDescent="0.2">
      <c r="A155">
        <f>获奖信息!A153</f>
        <v>152</v>
      </c>
      <c r="B155">
        <f>获奖信息!B153</f>
        <v>45962</v>
      </c>
      <c r="C155" t="str">
        <f>获奖信息!C153</f>
        <v>品质保证科</v>
      </c>
      <c r="D155" t="str">
        <f>获奖信息!D153</f>
        <v>内部获奖</v>
      </c>
      <c r="E155" t="str">
        <f>获奖信息!E153</f>
        <v>数字化课题开发</v>
      </c>
      <c r="F155" t="str">
        <f>获奖信息!F153</f>
        <v>普通课题</v>
      </c>
      <c r="G155" t="str">
        <f>获奖信息!G153</f>
        <v>一岗双责执行清单预警提示</v>
      </c>
      <c r="H155" t="str">
        <f>获奖信息!H153</f>
        <v>否</v>
      </c>
      <c r="I155">
        <f>获奖信息!I153</f>
        <v>1</v>
      </c>
      <c r="J155" t="str">
        <f>获奖信息!J153</f>
        <v>潘峰</v>
      </c>
      <c r="K155">
        <f>获奖信息!K153</f>
        <v>8613369</v>
      </c>
      <c r="L155">
        <f>获奖信息!L153</f>
        <v>0</v>
      </c>
      <c r="M155">
        <f>获奖信息!M153</f>
        <v>1</v>
      </c>
      <c r="N155">
        <f>获奖信息!N153</f>
        <v>1</v>
      </c>
      <c r="O155">
        <f>获奖信息!O153</f>
        <v>1</v>
      </c>
    </row>
    <row r="156" spans="1:15" x14ac:dyDescent="0.2">
      <c r="A156">
        <f>获奖信息!A154</f>
        <v>153</v>
      </c>
      <c r="B156">
        <f>获奖信息!B154</f>
        <v>45962</v>
      </c>
      <c r="C156" t="str">
        <f>获奖信息!C154</f>
        <v>工业工程科</v>
      </c>
      <c r="D156" t="str">
        <f>获奖信息!D154</f>
        <v>内部获奖</v>
      </c>
      <c r="E156" t="str">
        <f>获奖信息!E154</f>
        <v>数字化课题开发</v>
      </c>
      <c r="F156" t="str">
        <f>获奖信息!F154</f>
        <v>普通课题</v>
      </c>
      <c r="G156" t="str">
        <f>获奖信息!G154</f>
        <v>大连工厂计划内工时预测</v>
      </c>
      <c r="H156" t="str">
        <f>获奖信息!H154</f>
        <v>是</v>
      </c>
      <c r="I156">
        <f>获奖信息!I154</f>
        <v>1.5</v>
      </c>
      <c r="J156" t="str">
        <f>获奖信息!J154</f>
        <v>王冠</v>
      </c>
      <c r="K156">
        <f>获奖信息!K154</f>
        <v>8698876</v>
      </c>
      <c r="L156">
        <f>获奖信息!L154</f>
        <v>0</v>
      </c>
      <c r="M156">
        <f>获奖信息!M154</f>
        <v>1</v>
      </c>
      <c r="N156">
        <f>获奖信息!N154</f>
        <v>1</v>
      </c>
      <c r="O156">
        <f>获奖信息!O154</f>
        <v>1.5</v>
      </c>
    </row>
    <row r="157" spans="1:15" x14ac:dyDescent="0.2">
      <c r="A157">
        <f>获奖信息!A155</f>
        <v>154</v>
      </c>
      <c r="B157">
        <f>获奖信息!B155</f>
        <v>45962</v>
      </c>
      <c r="C157" t="str">
        <f>获奖信息!C155</f>
        <v>品质保证科</v>
      </c>
      <c r="D157" t="str">
        <f>获奖信息!D155</f>
        <v>内部获奖</v>
      </c>
      <c r="E157" t="str">
        <f>获奖信息!E155</f>
        <v>数字化课题开发</v>
      </c>
      <c r="F157" t="str">
        <f>获奖信息!F155</f>
        <v>普通课题</v>
      </c>
      <c r="G157" t="str">
        <f>获奖信息!G155</f>
        <v>路试检查日报自动发送</v>
      </c>
      <c r="H157" t="str">
        <f>获奖信息!H155</f>
        <v>是</v>
      </c>
      <c r="I157">
        <f>获奖信息!I155</f>
        <v>1.5</v>
      </c>
      <c r="J157" t="str">
        <f>获奖信息!J155</f>
        <v>刘荣</v>
      </c>
      <c r="K157">
        <f>获奖信息!K155</f>
        <v>8679860</v>
      </c>
      <c r="L157">
        <f>获奖信息!L155</f>
        <v>0</v>
      </c>
      <c r="M157">
        <f>获奖信息!M155</f>
        <v>1</v>
      </c>
      <c r="N157">
        <f>获奖信息!N155</f>
        <v>1</v>
      </c>
      <c r="O157">
        <f>获奖信息!O155</f>
        <v>1.5</v>
      </c>
    </row>
    <row r="158" spans="1:15" x14ac:dyDescent="0.2">
      <c r="A158">
        <f>获奖信息!A156</f>
        <v>155</v>
      </c>
      <c r="B158">
        <f>获奖信息!B156</f>
        <v>45962</v>
      </c>
      <c r="C158" t="str">
        <f>获奖信息!C156</f>
        <v>品质保证科</v>
      </c>
      <c r="D158" t="str">
        <f>获奖信息!D156</f>
        <v>内部获奖</v>
      </c>
      <c r="E158" t="str">
        <f>获奖信息!E156</f>
        <v>数字化课题开发</v>
      </c>
      <c r="F158" t="str">
        <f>获奖信息!F156</f>
        <v>普通课题</v>
      </c>
      <c r="G158" t="str">
        <f>获奖信息!G156</f>
        <v>每日OFF-VES评价报表商品化检出率日报邮件自动发送</v>
      </c>
      <c r="H158" t="str">
        <f>获奖信息!H156</f>
        <v>是</v>
      </c>
      <c r="I158">
        <f>获奖信息!I156</f>
        <v>1.5</v>
      </c>
      <c r="J158" t="str">
        <f>获奖信息!J156</f>
        <v>邹海兵</v>
      </c>
      <c r="K158">
        <f>获奖信息!K156</f>
        <v>8665428</v>
      </c>
      <c r="L158">
        <f>获奖信息!L156</f>
        <v>0</v>
      </c>
      <c r="M158">
        <f>获奖信息!M156</f>
        <v>1</v>
      </c>
      <c r="N158">
        <f>获奖信息!N156</f>
        <v>1</v>
      </c>
      <c r="O158">
        <f>获奖信息!O156</f>
        <v>1.5</v>
      </c>
    </row>
    <row r="159" spans="1:15" x14ac:dyDescent="0.2">
      <c r="A159">
        <f>获奖信息!A157</f>
        <v>156</v>
      </c>
      <c r="B159">
        <f>获奖信息!B157</f>
        <v>45962</v>
      </c>
      <c r="C159" t="str">
        <f>获奖信息!C157</f>
        <v>总装科</v>
      </c>
      <c r="D159" t="str">
        <f>获奖信息!D157</f>
        <v>内部获奖</v>
      </c>
      <c r="E159" t="str">
        <f>获奖信息!E157</f>
        <v>数字化课题开发</v>
      </c>
      <c r="F159" t="str">
        <f>获奖信息!F157</f>
        <v>普通课题</v>
      </c>
      <c r="G159" t="str">
        <f>获奖信息!G157</f>
        <v>品质信息全员推送</v>
      </c>
      <c r="H159" t="str">
        <f>获奖信息!H157</f>
        <v>是</v>
      </c>
      <c r="I159">
        <f>获奖信息!I157</f>
        <v>1.5</v>
      </c>
      <c r="J159" t="str">
        <f>获奖信息!J157</f>
        <v>李扬</v>
      </c>
      <c r="K159">
        <f>获奖信息!K157</f>
        <v>8674002</v>
      </c>
      <c r="L159">
        <f>获奖信息!L157</f>
        <v>0</v>
      </c>
      <c r="M159">
        <f>获奖信息!M157</f>
        <v>1</v>
      </c>
      <c r="N159">
        <f>获奖信息!N157</f>
        <v>1</v>
      </c>
      <c r="O159">
        <f>获奖信息!O157</f>
        <v>1.5</v>
      </c>
    </row>
    <row r="160" spans="1:15" x14ac:dyDescent="0.2">
      <c r="A160">
        <f>获奖信息!A158</f>
        <v>157</v>
      </c>
      <c r="B160">
        <f>获奖信息!B158</f>
        <v>45962</v>
      </c>
      <c r="C160" t="str">
        <f>获奖信息!C158</f>
        <v>品质保证科</v>
      </c>
      <c r="D160" t="str">
        <f>获奖信息!D158</f>
        <v>内部获奖</v>
      </c>
      <c r="E160" t="str">
        <f>获奖信息!E158</f>
        <v>数字化课题开发</v>
      </c>
      <c r="F160" t="str">
        <f>获奖信息!F158</f>
        <v>普通课题</v>
      </c>
      <c r="G160" t="str">
        <f>获奖信息!G158</f>
        <v>商、检、路班组指摘问题自动发送机器人</v>
      </c>
      <c r="H160" t="str">
        <f>获奖信息!H158</f>
        <v>是</v>
      </c>
      <c r="I160">
        <f>获奖信息!I158</f>
        <v>1.5</v>
      </c>
      <c r="J160" t="str">
        <f>获奖信息!J158</f>
        <v>刘明华</v>
      </c>
      <c r="K160">
        <f>获奖信息!K158</f>
        <v>8612525</v>
      </c>
      <c r="L160">
        <f>获奖信息!L158</f>
        <v>0</v>
      </c>
      <c r="M160">
        <f>获奖信息!M158</f>
        <v>1</v>
      </c>
      <c r="N160">
        <f>获奖信息!N158</f>
        <v>1</v>
      </c>
      <c r="O160">
        <f>获奖信息!O158</f>
        <v>1.5</v>
      </c>
    </row>
    <row r="161" spans="1:15" x14ac:dyDescent="0.2">
      <c r="A161">
        <f>获奖信息!A159</f>
        <v>158</v>
      </c>
      <c r="B161">
        <f>获奖信息!B159</f>
        <v>45962</v>
      </c>
      <c r="C161" t="str">
        <f>获奖信息!C159</f>
        <v>品质保证科</v>
      </c>
      <c r="D161" t="str">
        <f>获奖信息!D159</f>
        <v>内部获奖</v>
      </c>
      <c r="E161" t="str">
        <f>获奖信息!E159</f>
        <v>数字化课题开发</v>
      </c>
      <c r="F161" t="str">
        <f>获奖信息!F159</f>
        <v>普通课题</v>
      </c>
      <c r="G161" t="str">
        <f>获奖信息!G159</f>
        <v>车体颜色趋势数字化管理</v>
      </c>
      <c r="H161" t="str">
        <f>获奖信息!H159</f>
        <v>是</v>
      </c>
      <c r="I161">
        <f>获奖信息!I159</f>
        <v>1.5</v>
      </c>
      <c r="J161" t="str">
        <f>获奖信息!J159</f>
        <v>王兴军</v>
      </c>
      <c r="K161">
        <f>获奖信息!K159</f>
        <v>8613221</v>
      </c>
      <c r="L161">
        <f>获奖信息!L159</f>
        <v>0</v>
      </c>
      <c r="M161">
        <f>获奖信息!M159</f>
        <v>1</v>
      </c>
      <c r="N161">
        <f>获奖信息!N159</f>
        <v>1</v>
      </c>
      <c r="O161">
        <f>获奖信息!O159</f>
        <v>1.5</v>
      </c>
    </row>
    <row r="162" spans="1:15" x14ac:dyDescent="0.2">
      <c r="A162">
        <f>获奖信息!A160</f>
        <v>159</v>
      </c>
      <c r="B162">
        <f>获奖信息!B160</f>
        <v>45962</v>
      </c>
      <c r="C162" t="str">
        <f>获奖信息!C160</f>
        <v>冲焊科</v>
      </c>
      <c r="D162" t="str">
        <f>获奖信息!D160</f>
        <v>内部获奖</v>
      </c>
      <c r="E162" t="str">
        <f>获奖信息!E160</f>
        <v>数字化课题开发</v>
      </c>
      <c r="F162" t="str">
        <f>获奖信息!F160</f>
        <v>普通课题</v>
      </c>
      <c r="G162" t="str">
        <f>获奖信息!G160</f>
        <v>自动分发生产计划</v>
      </c>
      <c r="H162" t="str">
        <f>获奖信息!H160</f>
        <v>是</v>
      </c>
      <c r="I162">
        <f>获奖信息!I160</f>
        <v>1.5</v>
      </c>
      <c r="J162" t="str">
        <f>获奖信息!J160</f>
        <v>刘在荣</v>
      </c>
      <c r="K162">
        <f>获奖信息!K160</f>
        <v>8614212</v>
      </c>
      <c r="L162">
        <f>获奖信息!L160</f>
        <v>0</v>
      </c>
      <c r="M162">
        <f>获奖信息!M160</f>
        <v>1</v>
      </c>
      <c r="N162">
        <f>获奖信息!N160</f>
        <v>1</v>
      </c>
      <c r="O162">
        <f>获奖信息!O160</f>
        <v>1.5</v>
      </c>
    </row>
    <row r="163" spans="1:15" x14ac:dyDescent="0.2">
      <c r="A163">
        <f>获奖信息!A161</f>
        <v>160</v>
      </c>
      <c r="B163">
        <f>获奖信息!B161</f>
        <v>45962</v>
      </c>
      <c r="C163" t="str">
        <f>获奖信息!C161</f>
        <v>涂树科</v>
      </c>
      <c r="D163" t="str">
        <f>获奖信息!D161</f>
        <v>内部获奖</v>
      </c>
      <c r="E163" t="str">
        <f>获奖信息!E161</f>
        <v>数字化课题开发</v>
      </c>
      <c r="F163" t="str">
        <f>获奖信息!F161</f>
        <v>普通课题</v>
      </c>
      <c r="G163" t="str">
        <f>获奖信息!G161</f>
        <v>团委年度工作推进管控机器人</v>
      </c>
      <c r="H163" t="str">
        <f>获奖信息!H161</f>
        <v>是</v>
      </c>
      <c r="I163">
        <f>获奖信息!I161</f>
        <v>1.5</v>
      </c>
      <c r="J163" t="str">
        <f>获奖信息!J161</f>
        <v>王玉</v>
      </c>
      <c r="K163">
        <f>获奖信息!K161</f>
        <v>8679425</v>
      </c>
      <c r="L163">
        <f>获奖信息!L161</f>
        <v>0</v>
      </c>
      <c r="M163">
        <f>获奖信息!M161</f>
        <v>1</v>
      </c>
      <c r="N163">
        <f>获奖信息!N161</f>
        <v>1</v>
      </c>
      <c r="O163">
        <f>获奖信息!O161</f>
        <v>1.5</v>
      </c>
    </row>
    <row r="164" spans="1:15" x14ac:dyDescent="0.2">
      <c r="A164">
        <f>获奖信息!A162</f>
        <v>161</v>
      </c>
      <c r="B164">
        <f>获奖信息!B162</f>
        <v>45962</v>
      </c>
      <c r="C164" t="str">
        <f>获奖信息!C162</f>
        <v>生产管理科</v>
      </c>
      <c r="D164" t="str">
        <f>获奖信息!D162</f>
        <v>内部获奖</v>
      </c>
      <c r="E164" t="str">
        <f>获奖信息!E162</f>
        <v>数字化课题开发</v>
      </c>
      <c r="F164" t="str">
        <f>获奖信息!F162</f>
        <v>普通课题</v>
      </c>
      <c r="G164" t="str">
        <f>获奖信息!G162</f>
        <v>pumas未纳自动发送</v>
      </c>
      <c r="H164" t="str">
        <f>获奖信息!H162</f>
        <v>是</v>
      </c>
      <c r="I164">
        <f>获奖信息!I162</f>
        <v>1.5</v>
      </c>
      <c r="J164" t="str">
        <f>获奖信息!J162</f>
        <v>于文书</v>
      </c>
      <c r="K164">
        <f>获奖信息!K162</f>
        <v>8683979</v>
      </c>
      <c r="L164">
        <f>获奖信息!L162</f>
        <v>0</v>
      </c>
      <c r="M164">
        <f>获奖信息!M162</f>
        <v>1</v>
      </c>
      <c r="N164">
        <f>获奖信息!N162</f>
        <v>1</v>
      </c>
      <c r="O164">
        <f>获奖信息!O162</f>
        <v>1.5</v>
      </c>
    </row>
    <row r="165" spans="1:15" x14ac:dyDescent="0.2">
      <c r="A165">
        <f>获奖信息!A163</f>
        <v>162</v>
      </c>
      <c r="B165">
        <f>获奖信息!B163</f>
        <v>45962</v>
      </c>
      <c r="C165" t="str">
        <f>获奖信息!C163</f>
        <v>涂树科</v>
      </c>
      <c r="D165" t="str">
        <f>获奖信息!D163</f>
        <v>内部获奖</v>
      </c>
      <c r="E165" t="str">
        <f>获奖信息!E163</f>
        <v>数字化课题开发</v>
      </c>
      <c r="F165" t="str">
        <f>获奖信息!F163</f>
        <v>普通课题</v>
      </c>
      <c r="G165" t="str">
        <f>获奖信息!G163</f>
        <v>HPU日动态管控</v>
      </c>
      <c r="H165" t="str">
        <f>获奖信息!H163</f>
        <v>否</v>
      </c>
      <c r="I165">
        <f>获奖信息!I163</f>
        <v>1</v>
      </c>
      <c r="J165" t="str">
        <f>获奖信息!J163</f>
        <v>纪明达</v>
      </c>
      <c r="K165">
        <f>获奖信息!K163</f>
        <v>8683064</v>
      </c>
      <c r="L165">
        <f>获奖信息!L163</f>
        <v>0</v>
      </c>
      <c r="M165">
        <f>获奖信息!M163</f>
        <v>1</v>
      </c>
      <c r="N165">
        <f>获奖信息!N163</f>
        <v>1</v>
      </c>
      <c r="O165">
        <f>获奖信息!O163</f>
        <v>1</v>
      </c>
    </row>
    <row r="166" spans="1:15" x14ac:dyDescent="0.2">
      <c r="A166">
        <f>获奖信息!A164</f>
        <v>163</v>
      </c>
      <c r="B166">
        <f>获奖信息!B164</f>
        <v>45976</v>
      </c>
      <c r="C166" t="str">
        <f>获奖信息!C164</f>
        <v>品质保证科</v>
      </c>
      <c r="D166" t="str">
        <f>获奖信息!D164</f>
        <v>内部获奖</v>
      </c>
      <c r="E166" t="str">
        <f>获奖信息!E164</f>
        <v>数字化课题开发</v>
      </c>
      <c r="F166" t="str">
        <f>获奖信息!F164</f>
        <v>普通课题</v>
      </c>
      <c r="G166" t="str">
        <f>获奖信息!G164</f>
        <v>AVM、DCM后台long与生产信息自动匹对</v>
      </c>
      <c r="H166" t="str">
        <f>获奖信息!H164</f>
        <v>否</v>
      </c>
      <c r="I166">
        <f>获奖信息!I164</f>
        <v>1</v>
      </c>
      <c r="J166" t="str">
        <f>获奖信息!J164</f>
        <v>马长亮</v>
      </c>
      <c r="K166">
        <f>获奖信息!K164</f>
        <v>8613616</v>
      </c>
      <c r="L166">
        <f>获奖信息!L164</f>
        <v>0</v>
      </c>
      <c r="M166">
        <f>获奖信息!M164</f>
        <v>1</v>
      </c>
      <c r="N166">
        <f>获奖信息!N164</f>
        <v>1</v>
      </c>
      <c r="O166">
        <f>获奖信息!O164</f>
        <v>1</v>
      </c>
    </row>
    <row r="167" spans="1:15" x14ac:dyDescent="0.2">
      <c r="A167">
        <f>获奖信息!A165</f>
        <v>164</v>
      </c>
      <c r="B167">
        <f>获奖信息!B165</f>
        <v>45976</v>
      </c>
      <c r="C167" t="str">
        <f>获奖信息!C165</f>
        <v>综合管理科</v>
      </c>
      <c r="D167" t="str">
        <f>获奖信息!D165</f>
        <v>内部获奖</v>
      </c>
      <c r="E167" t="str">
        <f>获奖信息!E165</f>
        <v>数字化课题开发</v>
      </c>
      <c r="F167" t="str">
        <f>获奖信息!F165</f>
        <v>普通课题</v>
      </c>
      <c r="G167" t="str">
        <f>获奖信息!G165</f>
        <v>编外学习计划未实施项目明细查询及导出</v>
      </c>
      <c r="H167" t="str">
        <f>获奖信息!H165</f>
        <v>否</v>
      </c>
      <c r="I167">
        <f>获奖信息!I165</f>
        <v>1</v>
      </c>
      <c r="J167" t="str">
        <f>获奖信息!J165</f>
        <v>华运崇</v>
      </c>
      <c r="K167">
        <f>获奖信息!K165</f>
        <v>8730581</v>
      </c>
      <c r="L167">
        <f>获奖信息!L165</f>
        <v>0</v>
      </c>
      <c r="M167">
        <f>获奖信息!M165</f>
        <v>1</v>
      </c>
      <c r="N167">
        <f>获奖信息!N165</f>
        <v>1</v>
      </c>
      <c r="O167">
        <f>获奖信息!O165</f>
        <v>1</v>
      </c>
    </row>
    <row r="168" spans="1:15" x14ac:dyDescent="0.2">
      <c r="A168">
        <f>获奖信息!A166</f>
        <v>165</v>
      </c>
      <c r="B168">
        <f>获奖信息!B166</f>
        <v>45976</v>
      </c>
      <c r="C168" t="str">
        <f>获奖信息!C166</f>
        <v>综合管理科</v>
      </c>
      <c r="D168" t="str">
        <f>获奖信息!D166</f>
        <v>内部获奖</v>
      </c>
      <c r="E168" t="str">
        <f>获奖信息!E166</f>
        <v>数字化课题开发</v>
      </c>
      <c r="F168" t="str">
        <f>获奖信息!F166</f>
        <v>普通课题</v>
      </c>
      <c r="G168" t="str">
        <f>获奖信息!G166</f>
        <v>月度各科室层级单位学习参训情况查询及导出</v>
      </c>
      <c r="H168" t="str">
        <f>获奖信息!H166</f>
        <v>否</v>
      </c>
      <c r="I168">
        <f>获奖信息!I166</f>
        <v>1</v>
      </c>
      <c r="J168" t="str">
        <f>获奖信息!J166</f>
        <v>华运崇</v>
      </c>
      <c r="K168">
        <f>获奖信息!K166</f>
        <v>8730581</v>
      </c>
      <c r="L168">
        <f>获奖信息!L166</f>
        <v>0</v>
      </c>
      <c r="M168">
        <f>获奖信息!M166</f>
        <v>1</v>
      </c>
      <c r="N168">
        <f>获奖信息!N166</f>
        <v>1</v>
      </c>
      <c r="O168">
        <f>获奖信息!O166</f>
        <v>1</v>
      </c>
    </row>
    <row r="169" spans="1:15" x14ac:dyDescent="0.2">
      <c r="A169">
        <f>获奖信息!A167</f>
        <v>166</v>
      </c>
      <c r="B169">
        <f>获奖信息!B167</f>
        <v>45976</v>
      </c>
      <c r="C169" t="str">
        <f>获奖信息!C167</f>
        <v>总装科</v>
      </c>
      <c r="D169" t="str">
        <f>获奖信息!D167</f>
        <v>内部获奖</v>
      </c>
      <c r="E169" t="str">
        <f>获奖信息!E167</f>
        <v>数字化课题开发</v>
      </c>
      <c r="F169" t="str">
        <f>获奖信息!F167</f>
        <v>普通课题</v>
      </c>
      <c r="G169" t="str">
        <f>获奖信息!G167</f>
        <v>变速箱条码数字化</v>
      </c>
      <c r="H169" t="str">
        <f>获奖信息!H167</f>
        <v>是</v>
      </c>
      <c r="I169">
        <f>获奖信息!I167</f>
        <v>1.5</v>
      </c>
      <c r="J169" t="str">
        <f>获奖信息!J167</f>
        <v>闫瑞乾</v>
      </c>
      <c r="K169">
        <f>获奖信息!K167</f>
        <v>8650621</v>
      </c>
      <c r="L169">
        <f>获奖信息!L167</f>
        <v>0</v>
      </c>
      <c r="M169">
        <f>获奖信息!M167</f>
        <v>1</v>
      </c>
      <c r="N169">
        <f>获奖信息!N167</f>
        <v>1</v>
      </c>
      <c r="O169">
        <f>获奖信息!O167</f>
        <v>1.5</v>
      </c>
    </row>
    <row r="170" spans="1:15" x14ac:dyDescent="0.2">
      <c r="A170">
        <f>获奖信息!A168</f>
        <v>167</v>
      </c>
      <c r="B170">
        <f>获奖信息!B168</f>
        <v>45976</v>
      </c>
      <c r="C170" t="str">
        <f>获奖信息!C168</f>
        <v>技术科</v>
      </c>
      <c r="D170" t="str">
        <f>获奖信息!D168</f>
        <v>内部获奖</v>
      </c>
      <c r="E170" t="str">
        <f>获奖信息!E168</f>
        <v>数字化课题开发</v>
      </c>
      <c r="F170" t="str">
        <f>获奖信息!F168</f>
        <v>普通课题</v>
      </c>
      <c r="G170" t="str">
        <f>获奖信息!G168</f>
        <v>防锈数据处理工作流</v>
      </c>
      <c r="H170" t="str">
        <f>获奖信息!H168</f>
        <v>是</v>
      </c>
      <c r="I170">
        <f>获奖信息!I168</f>
        <v>1.5</v>
      </c>
      <c r="J170" t="str">
        <f>获奖信息!J168</f>
        <v>殷亚强</v>
      </c>
      <c r="K170">
        <f>获奖信息!K168</f>
        <v>8696729</v>
      </c>
      <c r="L170">
        <f>获奖信息!L168</f>
        <v>0</v>
      </c>
      <c r="M170">
        <f>获奖信息!M168</f>
        <v>1</v>
      </c>
      <c r="N170">
        <f>获奖信息!N168</f>
        <v>1</v>
      </c>
      <c r="O170">
        <f>获奖信息!O168</f>
        <v>1.5</v>
      </c>
    </row>
    <row r="171" spans="1:15" x14ac:dyDescent="0.2">
      <c r="A171">
        <f>获奖信息!A169</f>
        <v>168</v>
      </c>
      <c r="B171">
        <f>获奖信息!B169</f>
        <v>45976</v>
      </c>
      <c r="C171" t="str">
        <f>获奖信息!C169</f>
        <v>综合管理科</v>
      </c>
      <c r="D171" t="str">
        <f>获奖信息!D169</f>
        <v>内部获奖</v>
      </c>
      <c r="E171" t="str">
        <f>获奖信息!E169</f>
        <v>数字化课题开发</v>
      </c>
      <c r="F171" t="str">
        <f>获奖信息!F169</f>
        <v>普通课题</v>
      </c>
      <c r="G171" t="str">
        <f>获奖信息!G169</f>
        <v>学院当月内部讲师授课情况明细查询及导出</v>
      </c>
      <c r="H171" t="str">
        <f>获奖信息!H169</f>
        <v>否</v>
      </c>
      <c r="I171">
        <f>获奖信息!I169</f>
        <v>1</v>
      </c>
      <c r="J171" t="str">
        <f>获奖信息!J169</f>
        <v>华运崇</v>
      </c>
      <c r="K171">
        <f>获奖信息!K169</f>
        <v>8730581</v>
      </c>
      <c r="L171">
        <f>获奖信息!L169</f>
        <v>0</v>
      </c>
      <c r="M171">
        <f>获奖信息!M169</f>
        <v>1</v>
      </c>
      <c r="N171">
        <f>获奖信息!N169</f>
        <v>1</v>
      </c>
      <c r="O171">
        <f>获奖信息!O169</f>
        <v>1</v>
      </c>
    </row>
    <row r="172" spans="1:15" x14ac:dyDescent="0.2">
      <c r="A172">
        <f>获奖信息!A170</f>
        <v>169</v>
      </c>
      <c r="B172">
        <f>获奖信息!B170</f>
        <v>45976</v>
      </c>
      <c r="C172" t="str">
        <f>获奖信息!C170</f>
        <v>综合管理科</v>
      </c>
      <c r="D172" t="str">
        <f>获奖信息!D170</f>
        <v>内部获奖</v>
      </c>
      <c r="E172" t="str">
        <f>获奖信息!E170</f>
        <v>数字化课题开发</v>
      </c>
      <c r="F172" t="str">
        <f>获奖信息!F170</f>
        <v>普通课题</v>
      </c>
      <c r="G172" t="str">
        <f>获奖信息!G170</f>
        <v>年度整体学习计划实施情况查询及导出</v>
      </c>
      <c r="H172" t="str">
        <f>获奖信息!H170</f>
        <v>否</v>
      </c>
      <c r="I172">
        <f>获奖信息!I170</f>
        <v>1</v>
      </c>
      <c r="J172" t="str">
        <f>获奖信息!J170</f>
        <v>华运崇</v>
      </c>
      <c r="K172">
        <f>获奖信息!K170</f>
        <v>8730581</v>
      </c>
      <c r="L172">
        <f>获奖信息!L170</f>
        <v>0</v>
      </c>
      <c r="M172">
        <f>获奖信息!M170</f>
        <v>1</v>
      </c>
      <c r="N172">
        <f>获奖信息!N170</f>
        <v>1</v>
      </c>
      <c r="O172">
        <f>获奖信息!O170</f>
        <v>1</v>
      </c>
    </row>
    <row r="173" spans="1:15" x14ac:dyDescent="0.2">
      <c r="A173">
        <f>获奖信息!A171</f>
        <v>170</v>
      </c>
      <c r="B173">
        <f>获奖信息!B171</f>
        <v>45992</v>
      </c>
      <c r="C173" t="str">
        <f>获奖信息!C171</f>
        <v>工业工程科</v>
      </c>
      <c r="D173" t="str">
        <f>获奖信息!D171</f>
        <v>内部获奖</v>
      </c>
      <c r="E173" t="str">
        <f>获奖信息!E171</f>
        <v>数字化课题开发</v>
      </c>
      <c r="F173" t="str">
        <f>获奖信息!F171</f>
        <v>普通课题</v>
      </c>
      <c r="G173" t="str">
        <f>获奖信息!G171</f>
        <v>大连工厂计量器具智能管理系统</v>
      </c>
      <c r="H173" t="str">
        <f>获奖信息!H171</f>
        <v>否</v>
      </c>
      <c r="I173">
        <f>获奖信息!I171</f>
        <v>1</v>
      </c>
      <c r="J173" t="str">
        <f>获奖信息!J171</f>
        <v>王晓冬</v>
      </c>
      <c r="K173">
        <f>获奖信息!K171</f>
        <v>8680291</v>
      </c>
      <c r="L173">
        <f>获奖信息!L171</f>
        <v>0</v>
      </c>
      <c r="M173">
        <f>获奖信息!M171</f>
        <v>1</v>
      </c>
      <c r="N173">
        <f>获奖信息!N171</f>
        <v>1</v>
      </c>
      <c r="O173">
        <f>获奖信息!O171</f>
        <v>1</v>
      </c>
    </row>
    <row r="174" spans="1:15" x14ac:dyDescent="0.2">
      <c r="A174">
        <f>获奖信息!A172</f>
        <v>171</v>
      </c>
      <c r="B174">
        <f>获奖信息!B172</f>
        <v>45992</v>
      </c>
      <c r="C174" t="str">
        <f>获奖信息!C172</f>
        <v>设备动力科</v>
      </c>
      <c r="D174" t="str">
        <f>获奖信息!D172</f>
        <v>内部获奖</v>
      </c>
      <c r="E174" t="str">
        <f>获奖信息!E172</f>
        <v>数字化课题开发</v>
      </c>
      <c r="F174" t="str">
        <f>获奖信息!F172</f>
        <v>普通课题</v>
      </c>
      <c r="G174" t="str">
        <f>获奖信息!G172</f>
        <v>四合一加注机数据分析助手</v>
      </c>
      <c r="H174" t="str">
        <f>获奖信息!H172</f>
        <v>否</v>
      </c>
      <c r="I174">
        <f>获奖信息!I172</f>
        <v>1</v>
      </c>
      <c r="J174" t="str">
        <f>获奖信息!J172</f>
        <v>吕永琦</v>
      </c>
      <c r="K174">
        <f>获奖信息!K172</f>
        <v>8719234</v>
      </c>
      <c r="L174">
        <f>获奖信息!L172</f>
        <v>0</v>
      </c>
      <c r="M174">
        <f>获奖信息!M172</f>
        <v>1</v>
      </c>
      <c r="N174">
        <f>获奖信息!N172</f>
        <v>1</v>
      </c>
      <c r="O174">
        <f>获奖信息!O172</f>
        <v>1</v>
      </c>
    </row>
    <row r="175" spans="1:15" x14ac:dyDescent="0.2">
      <c r="A175">
        <f>获奖信息!A173</f>
        <v>172</v>
      </c>
      <c r="B175">
        <f>获奖信息!B173</f>
        <v>45992</v>
      </c>
      <c r="C175" t="str">
        <f>获奖信息!C173</f>
        <v>涂树科</v>
      </c>
      <c r="D175" t="str">
        <f>获奖信息!D173</f>
        <v>内部获奖</v>
      </c>
      <c r="E175" t="str">
        <f>获奖信息!E173</f>
        <v>数字化课题开发</v>
      </c>
      <c r="F175" t="str">
        <f>获奖信息!F173</f>
        <v>普通课题</v>
      </c>
      <c r="G175" t="str">
        <f>获奖信息!G173</f>
        <v>成型工艺不良分析改善建议与指导</v>
      </c>
      <c r="H175" t="str">
        <f>获奖信息!H173</f>
        <v>是</v>
      </c>
      <c r="I175">
        <f>获奖信息!I173</f>
        <v>1.5</v>
      </c>
      <c r="J175" t="str">
        <f>获奖信息!J173</f>
        <v>郭旭光</v>
      </c>
      <c r="K175">
        <f>获奖信息!K173</f>
        <v>8681219</v>
      </c>
      <c r="L175">
        <f>获奖信息!L173</f>
        <v>0</v>
      </c>
      <c r="M175">
        <f>获奖信息!M173</f>
        <v>1</v>
      </c>
      <c r="N175">
        <f>获奖信息!N173</f>
        <v>1</v>
      </c>
      <c r="O175">
        <f>获奖信息!O173</f>
        <v>1.5</v>
      </c>
    </row>
    <row r="176" spans="1:15" x14ac:dyDescent="0.2">
      <c r="A176">
        <f>获奖信息!A174</f>
        <v>173</v>
      </c>
      <c r="B176">
        <f>获奖信息!B174</f>
        <v>45992</v>
      </c>
      <c r="C176" t="str">
        <f>获奖信息!C174</f>
        <v>品质保证科</v>
      </c>
      <c r="D176" t="str">
        <f>获奖信息!D174</f>
        <v>内部获奖</v>
      </c>
      <c r="E176" t="str">
        <f>获奖信息!E174</f>
        <v>数字化课题开发</v>
      </c>
      <c r="F176" t="str">
        <f>获奖信息!F174</f>
        <v>普通课题</v>
      </c>
      <c r="G176" t="str">
        <f>获奖信息!G174</f>
        <v>品质月度分析报表一键生成</v>
      </c>
      <c r="H176" t="str">
        <f>获奖信息!H174</f>
        <v>是</v>
      </c>
      <c r="I176">
        <f>获奖信息!I174</f>
        <v>1.5</v>
      </c>
      <c r="J176" t="str">
        <f>获奖信息!J174</f>
        <v>何德财</v>
      </c>
      <c r="K176">
        <f>获奖信息!K174</f>
        <v>8683690</v>
      </c>
      <c r="L176">
        <f>获奖信息!L174</f>
        <v>0</v>
      </c>
      <c r="M176">
        <f>获奖信息!M174</f>
        <v>1</v>
      </c>
      <c r="N176">
        <f>获奖信息!N174</f>
        <v>1</v>
      </c>
      <c r="O176">
        <f>获奖信息!O174</f>
        <v>1.5</v>
      </c>
    </row>
    <row r="177" spans="1:15" x14ac:dyDescent="0.2">
      <c r="A177">
        <f>获奖信息!A175</f>
        <v>174</v>
      </c>
      <c r="B177">
        <f>获奖信息!B175</f>
        <v>45992</v>
      </c>
      <c r="C177" t="str">
        <f>获奖信息!C175</f>
        <v>技术科</v>
      </c>
      <c r="D177" t="str">
        <f>获奖信息!D175</f>
        <v>内部获奖</v>
      </c>
      <c r="E177" t="str">
        <f>获奖信息!E175</f>
        <v>数字化课题开发</v>
      </c>
      <c r="F177" t="str">
        <f>获奖信息!F175</f>
        <v>普通课题</v>
      </c>
      <c r="G177" t="str">
        <f>获奖信息!G175</f>
        <v>涂装VOCs数据自动统计</v>
      </c>
      <c r="H177" t="str">
        <f>获奖信息!H175</f>
        <v>是</v>
      </c>
      <c r="I177">
        <f>获奖信息!I175</f>
        <v>1.5</v>
      </c>
      <c r="J177" t="str">
        <f>获奖信息!J175</f>
        <v>曹建双</v>
      </c>
      <c r="K177">
        <f>获奖信息!K175</f>
        <v>8687965</v>
      </c>
      <c r="L177">
        <f>获奖信息!L175</f>
        <v>0</v>
      </c>
      <c r="M177">
        <f>获奖信息!M175</f>
        <v>1</v>
      </c>
      <c r="N177">
        <f>获奖信息!N175</f>
        <v>1</v>
      </c>
      <c r="O177">
        <f>获奖信息!O175</f>
        <v>1.5</v>
      </c>
    </row>
    <row r="178" spans="1:15" x14ac:dyDescent="0.2">
      <c r="A178">
        <f>获奖信息!A176</f>
        <v>175</v>
      </c>
      <c r="B178">
        <f>获奖信息!B176</f>
        <v>45992</v>
      </c>
      <c r="C178" t="str">
        <f>获奖信息!C176</f>
        <v>涂树科</v>
      </c>
      <c r="D178" t="str">
        <f>获奖信息!D176</f>
        <v>内部获奖</v>
      </c>
      <c r="E178" t="str">
        <f>获奖信息!E176</f>
        <v>数字化课题开发</v>
      </c>
      <c r="F178" t="str">
        <f>获奖信息!F176</f>
        <v>普通课题</v>
      </c>
      <c r="G178" t="str">
        <f>获奖信息!G176</f>
        <v>工作提醒小助手</v>
      </c>
      <c r="H178" t="str">
        <f>获奖信息!H176</f>
        <v>是</v>
      </c>
      <c r="I178">
        <f>获奖信息!I176</f>
        <v>1.5</v>
      </c>
      <c r="J178" t="str">
        <f>获奖信息!J176</f>
        <v>闫瑞坤</v>
      </c>
      <c r="K178">
        <f>获奖信息!K176</f>
        <v>8613426</v>
      </c>
      <c r="L178">
        <f>获奖信息!L176</f>
        <v>0</v>
      </c>
      <c r="M178">
        <f>获奖信息!M176</f>
        <v>1</v>
      </c>
      <c r="N178">
        <f>获奖信息!N176</f>
        <v>1</v>
      </c>
      <c r="O178">
        <f>获奖信息!O176</f>
        <v>1.5</v>
      </c>
    </row>
    <row r="179" spans="1:15" x14ac:dyDescent="0.2">
      <c r="A179">
        <f>获奖信息!A177</f>
        <v>176</v>
      </c>
      <c r="B179">
        <f>获奖信息!B177</f>
        <v>45992</v>
      </c>
      <c r="C179" t="str">
        <f>获奖信息!C177</f>
        <v>安技环保科</v>
      </c>
      <c r="D179" t="str">
        <f>获奖信息!D177</f>
        <v>内部获奖</v>
      </c>
      <c r="E179" t="str">
        <f>获奖信息!E177</f>
        <v>数字化课题开发</v>
      </c>
      <c r="F179" t="str">
        <f>获奖信息!F177</f>
        <v>普通课题</v>
      </c>
      <c r="G179" t="str">
        <f>获奖信息!G177</f>
        <v>人员资质自动提醒流程</v>
      </c>
      <c r="H179" t="str">
        <f>获奖信息!H177</f>
        <v>否</v>
      </c>
      <c r="I179">
        <f>获奖信息!I177</f>
        <v>1</v>
      </c>
      <c r="J179" t="str">
        <f>获奖信息!J177</f>
        <v>佟鑫凯</v>
      </c>
      <c r="K179">
        <f>获奖信息!K177</f>
        <v>8730580</v>
      </c>
      <c r="L179">
        <f>获奖信息!L177</f>
        <v>0</v>
      </c>
      <c r="M179">
        <f>获奖信息!M177</f>
        <v>1</v>
      </c>
      <c r="N179">
        <f>获奖信息!N177</f>
        <v>1</v>
      </c>
      <c r="O179">
        <f>获奖信息!O177</f>
        <v>1</v>
      </c>
    </row>
    <row r="180" spans="1:15" x14ac:dyDescent="0.2">
      <c r="A180">
        <f>获奖信息!A178</f>
        <v>177</v>
      </c>
      <c r="B180">
        <f>获奖信息!B178</f>
        <v>45992</v>
      </c>
      <c r="C180" t="str">
        <f>获奖信息!C178</f>
        <v>安技环保科</v>
      </c>
      <c r="D180" t="str">
        <f>获奖信息!D178</f>
        <v>外部获奖</v>
      </c>
      <c r="E180" t="str">
        <f>获奖信息!E178</f>
        <v>DFN级/市级奖项</v>
      </c>
      <c r="F180" t="str">
        <f>获奖信息!F178</f>
        <v>一等奖</v>
      </c>
      <c r="G180" t="str">
        <f>获奖信息!G178</f>
        <v>2025东风日产EHS年度课题发表</v>
      </c>
      <c r="H180" t="str">
        <f>获奖信息!H178</f>
        <v>否</v>
      </c>
      <c r="I180">
        <f>获奖信息!I178</f>
        <v>3</v>
      </c>
      <c r="J180" t="str">
        <f>获奖信息!J178</f>
        <v>谢天文</v>
      </c>
      <c r="K180">
        <f>获奖信息!K178</f>
        <v>8696816</v>
      </c>
      <c r="L180">
        <f>获奖信息!L178</f>
        <v>0</v>
      </c>
      <c r="M180">
        <f>获奖信息!M178</f>
        <v>1</v>
      </c>
      <c r="N180">
        <f>获奖信息!N178</f>
        <v>1</v>
      </c>
      <c r="O180">
        <f>获奖信息!O178</f>
        <v>3</v>
      </c>
    </row>
    <row r="181" spans="1:15" x14ac:dyDescent="0.2">
      <c r="A181">
        <f>获奖信息!A179</f>
        <v>0</v>
      </c>
      <c r="B181">
        <f>获奖信息!B179</f>
        <v>0</v>
      </c>
      <c r="C181">
        <f>获奖信息!C179</f>
        <v>0</v>
      </c>
      <c r="D181">
        <f>获奖信息!D179</f>
        <v>0</v>
      </c>
      <c r="E181">
        <f>获奖信息!E179</f>
        <v>0</v>
      </c>
      <c r="F181">
        <f>获奖信息!F179</f>
        <v>0</v>
      </c>
      <c r="G181">
        <f>获奖信息!G179</f>
        <v>0</v>
      </c>
      <c r="H181">
        <f>获奖信息!H179</f>
        <v>0</v>
      </c>
      <c r="I181">
        <f>获奖信息!I179</f>
        <v>0</v>
      </c>
      <c r="J181">
        <f>获奖信息!J179</f>
        <v>0</v>
      </c>
      <c r="K181">
        <f>获奖信息!K179</f>
        <v>0</v>
      </c>
      <c r="L181">
        <f>获奖信息!L179</f>
        <v>0</v>
      </c>
      <c r="M181">
        <f>获奖信息!M179</f>
        <v>0</v>
      </c>
      <c r="N181">
        <f>获奖信息!N179</f>
        <v>0</v>
      </c>
      <c r="O181">
        <f>获奖信息!O179</f>
        <v>0</v>
      </c>
    </row>
    <row r="182" spans="1:15" x14ac:dyDescent="0.2">
      <c r="A182">
        <f>获奖信息!A180</f>
        <v>0</v>
      </c>
      <c r="B182">
        <f>获奖信息!B180</f>
        <v>0</v>
      </c>
      <c r="C182">
        <f>获奖信息!C180</f>
        <v>0</v>
      </c>
      <c r="D182">
        <f>获奖信息!D180</f>
        <v>0</v>
      </c>
      <c r="E182">
        <f>获奖信息!E180</f>
        <v>0</v>
      </c>
      <c r="F182">
        <f>获奖信息!F180</f>
        <v>0</v>
      </c>
      <c r="G182">
        <f>获奖信息!G180</f>
        <v>0</v>
      </c>
      <c r="H182">
        <f>获奖信息!H180</f>
        <v>0</v>
      </c>
      <c r="I182">
        <f>获奖信息!I180</f>
        <v>0</v>
      </c>
      <c r="J182">
        <f>获奖信息!J180</f>
        <v>0</v>
      </c>
      <c r="K182">
        <f>获奖信息!K180</f>
        <v>0</v>
      </c>
      <c r="L182">
        <f>获奖信息!L180</f>
        <v>0</v>
      </c>
      <c r="M182">
        <f>获奖信息!M180</f>
        <v>0</v>
      </c>
      <c r="N182">
        <f>获奖信息!N180</f>
        <v>0</v>
      </c>
      <c r="O182">
        <f>获奖信息!O180</f>
        <v>0</v>
      </c>
    </row>
    <row r="183" spans="1:15" x14ac:dyDescent="0.2">
      <c r="A183">
        <f>获奖信息!A181</f>
        <v>0</v>
      </c>
      <c r="B183">
        <f>获奖信息!B181</f>
        <v>0</v>
      </c>
      <c r="C183">
        <f>获奖信息!C181</f>
        <v>0</v>
      </c>
      <c r="D183">
        <f>获奖信息!D181</f>
        <v>0</v>
      </c>
      <c r="E183">
        <f>获奖信息!E181</f>
        <v>0</v>
      </c>
      <c r="F183">
        <f>获奖信息!F181</f>
        <v>0</v>
      </c>
      <c r="G183">
        <f>获奖信息!G181</f>
        <v>0</v>
      </c>
      <c r="H183">
        <f>获奖信息!H181</f>
        <v>0</v>
      </c>
      <c r="I183">
        <f>获奖信息!I181</f>
        <v>0</v>
      </c>
      <c r="J183">
        <f>获奖信息!J181</f>
        <v>0</v>
      </c>
      <c r="K183">
        <f>获奖信息!K181</f>
        <v>0</v>
      </c>
      <c r="L183">
        <f>获奖信息!L181</f>
        <v>0</v>
      </c>
      <c r="M183">
        <f>获奖信息!M181</f>
        <v>0</v>
      </c>
      <c r="N183">
        <f>获奖信息!N181</f>
        <v>0</v>
      </c>
      <c r="O183">
        <f>获奖信息!O181</f>
        <v>0</v>
      </c>
    </row>
    <row r="184" spans="1:15" x14ac:dyDescent="0.2">
      <c r="A184">
        <f>获奖信息!A182</f>
        <v>0</v>
      </c>
      <c r="B184">
        <f>获奖信息!B182</f>
        <v>0</v>
      </c>
      <c r="C184">
        <f>获奖信息!C182</f>
        <v>0</v>
      </c>
      <c r="D184">
        <f>获奖信息!D182</f>
        <v>0</v>
      </c>
      <c r="E184">
        <f>获奖信息!E182</f>
        <v>0</v>
      </c>
      <c r="F184">
        <f>获奖信息!F182</f>
        <v>0</v>
      </c>
      <c r="G184">
        <f>获奖信息!G182</f>
        <v>0</v>
      </c>
      <c r="H184">
        <f>获奖信息!H182</f>
        <v>0</v>
      </c>
      <c r="I184">
        <f>获奖信息!I182</f>
        <v>0</v>
      </c>
      <c r="J184">
        <f>获奖信息!J182</f>
        <v>0</v>
      </c>
      <c r="K184">
        <f>获奖信息!K182</f>
        <v>0</v>
      </c>
      <c r="L184">
        <f>获奖信息!L182</f>
        <v>0</v>
      </c>
      <c r="M184">
        <f>获奖信息!M182</f>
        <v>0</v>
      </c>
      <c r="N184">
        <f>获奖信息!N182</f>
        <v>0</v>
      </c>
      <c r="O184">
        <f>获奖信息!O182</f>
        <v>0</v>
      </c>
    </row>
    <row r="185" spans="1:15" x14ac:dyDescent="0.2">
      <c r="A185">
        <f>获奖信息!A183</f>
        <v>0</v>
      </c>
      <c r="B185">
        <f>获奖信息!B183</f>
        <v>0</v>
      </c>
      <c r="C185">
        <f>获奖信息!C183</f>
        <v>0</v>
      </c>
      <c r="D185">
        <f>获奖信息!D183</f>
        <v>0</v>
      </c>
      <c r="E185">
        <f>获奖信息!E183</f>
        <v>0</v>
      </c>
      <c r="F185">
        <f>获奖信息!F183</f>
        <v>0</v>
      </c>
      <c r="G185">
        <f>获奖信息!G183</f>
        <v>0</v>
      </c>
      <c r="H185">
        <f>获奖信息!H183</f>
        <v>0</v>
      </c>
      <c r="I185">
        <f>获奖信息!I183</f>
        <v>0</v>
      </c>
      <c r="J185">
        <f>获奖信息!J183</f>
        <v>0</v>
      </c>
      <c r="K185">
        <f>获奖信息!K183</f>
        <v>0</v>
      </c>
      <c r="L185">
        <f>获奖信息!L183</f>
        <v>0</v>
      </c>
      <c r="M185">
        <f>获奖信息!M183</f>
        <v>0</v>
      </c>
      <c r="N185">
        <f>获奖信息!N183</f>
        <v>0</v>
      </c>
      <c r="O185">
        <f>获奖信息!O183</f>
        <v>0</v>
      </c>
    </row>
    <row r="186" spans="1:15" x14ac:dyDescent="0.2">
      <c r="A186">
        <f>获奖信息!A184</f>
        <v>0</v>
      </c>
      <c r="B186">
        <f>获奖信息!B184</f>
        <v>0</v>
      </c>
      <c r="C186">
        <f>获奖信息!C184</f>
        <v>0</v>
      </c>
      <c r="D186">
        <f>获奖信息!D184</f>
        <v>0</v>
      </c>
      <c r="E186">
        <f>获奖信息!E184</f>
        <v>0</v>
      </c>
      <c r="F186">
        <f>获奖信息!F184</f>
        <v>0</v>
      </c>
      <c r="G186">
        <f>获奖信息!G184</f>
        <v>0</v>
      </c>
      <c r="H186">
        <f>获奖信息!H184</f>
        <v>0</v>
      </c>
      <c r="I186">
        <f>获奖信息!I184</f>
        <v>0</v>
      </c>
      <c r="J186">
        <f>获奖信息!J184</f>
        <v>0</v>
      </c>
      <c r="K186">
        <f>获奖信息!K184</f>
        <v>0</v>
      </c>
      <c r="L186">
        <f>获奖信息!L184</f>
        <v>0</v>
      </c>
      <c r="M186">
        <f>获奖信息!M184</f>
        <v>0</v>
      </c>
      <c r="N186">
        <f>获奖信息!N184</f>
        <v>0</v>
      </c>
      <c r="O186">
        <f>获奖信息!O184</f>
        <v>0</v>
      </c>
    </row>
    <row r="187" spans="1:15" x14ac:dyDescent="0.2">
      <c r="A187">
        <f>获奖信息!A185</f>
        <v>0</v>
      </c>
      <c r="B187">
        <f>获奖信息!B185</f>
        <v>0</v>
      </c>
      <c r="C187">
        <f>获奖信息!C185</f>
        <v>0</v>
      </c>
      <c r="D187">
        <f>获奖信息!D185</f>
        <v>0</v>
      </c>
      <c r="E187">
        <f>获奖信息!E185</f>
        <v>0</v>
      </c>
      <c r="F187">
        <f>获奖信息!F185</f>
        <v>0</v>
      </c>
      <c r="G187">
        <f>获奖信息!G185</f>
        <v>0</v>
      </c>
      <c r="H187">
        <f>获奖信息!H185</f>
        <v>0</v>
      </c>
      <c r="I187">
        <f>获奖信息!I185</f>
        <v>0</v>
      </c>
      <c r="J187">
        <f>获奖信息!J185</f>
        <v>0</v>
      </c>
      <c r="K187">
        <f>获奖信息!K185</f>
        <v>0</v>
      </c>
      <c r="L187">
        <f>获奖信息!L185</f>
        <v>0</v>
      </c>
      <c r="M187">
        <f>获奖信息!M185</f>
        <v>0</v>
      </c>
      <c r="N187">
        <f>获奖信息!N185</f>
        <v>0</v>
      </c>
      <c r="O187">
        <f>获奖信息!O185</f>
        <v>0</v>
      </c>
    </row>
    <row r="188" spans="1:15" x14ac:dyDescent="0.2">
      <c r="A188">
        <f>获奖信息!A186</f>
        <v>0</v>
      </c>
      <c r="B188">
        <f>获奖信息!B186</f>
        <v>0</v>
      </c>
      <c r="C188">
        <f>获奖信息!C186</f>
        <v>0</v>
      </c>
      <c r="D188">
        <f>获奖信息!D186</f>
        <v>0</v>
      </c>
      <c r="E188">
        <f>获奖信息!E186</f>
        <v>0</v>
      </c>
      <c r="F188">
        <f>获奖信息!F186</f>
        <v>0</v>
      </c>
      <c r="G188">
        <f>获奖信息!G186</f>
        <v>0</v>
      </c>
      <c r="H188">
        <f>获奖信息!H186</f>
        <v>0</v>
      </c>
      <c r="I188">
        <f>获奖信息!I186</f>
        <v>0</v>
      </c>
      <c r="J188">
        <f>获奖信息!J186</f>
        <v>0</v>
      </c>
      <c r="K188">
        <f>获奖信息!K186</f>
        <v>0</v>
      </c>
      <c r="L188">
        <f>获奖信息!L186</f>
        <v>0</v>
      </c>
      <c r="M188">
        <f>获奖信息!M186</f>
        <v>0</v>
      </c>
      <c r="N188">
        <f>获奖信息!N186</f>
        <v>0</v>
      </c>
      <c r="O188">
        <f>获奖信息!O186</f>
        <v>0</v>
      </c>
    </row>
    <row r="189" spans="1:15" x14ac:dyDescent="0.2">
      <c r="A189">
        <f>获奖信息!A187</f>
        <v>0</v>
      </c>
      <c r="B189">
        <f>获奖信息!B187</f>
        <v>0</v>
      </c>
      <c r="C189">
        <f>获奖信息!C187</f>
        <v>0</v>
      </c>
      <c r="D189">
        <f>获奖信息!D187</f>
        <v>0</v>
      </c>
      <c r="E189">
        <f>获奖信息!E187</f>
        <v>0</v>
      </c>
      <c r="F189">
        <f>获奖信息!F187</f>
        <v>0</v>
      </c>
      <c r="G189">
        <f>获奖信息!G187</f>
        <v>0</v>
      </c>
      <c r="H189">
        <f>获奖信息!H187</f>
        <v>0</v>
      </c>
      <c r="I189">
        <f>获奖信息!I187</f>
        <v>0</v>
      </c>
      <c r="J189">
        <f>获奖信息!J187</f>
        <v>0</v>
      </c>
      <c r="K189">
        <f>获奖信息!K187</f>
        <v>0</v>
      </c>
      <c r="L189">
        <f>获奖信息!L187</f>
        <v>0</v>
      </c>
      <c r="M189">
        <f>获奖信息!M187</f>
        <v>0</v>
      </c>
      <c r="N189">
        <f>获奖信息!N187</f>
        <v>0</v>
      </c>
      <c r="O189">
        <f>获奖信息!O187</f>
        <v>0</v>
      </c>
    </row>
    <row r="190" spans="1:15" x14ac:dyDescent="0.2">
      <c r="A190">
        <f>获奖信息!A188</f>
        <v>0</v>
      </c>
      <c r="B190">
        <f>获奖信息!B188</f>
        <v>0</v>
      </c>
      <c r="C190">
        <f>获奖信息!C188</f>
        <v>0</v>
      </c>
      <c r="D190">
        <f>获奖信息!D188</f>
        <v>0</v>
      </c>
      <c r="E190">
        <f>获奖信息!E188</f>
        <v>0</v>
      </c>
      <c r="F190">
        <f>获奖信息!F188</f>
        <v>0</v>
      </c>
      <c r="G190">
        <f>获奖信息!G188</f>
        <v>0</v>
      </c>
      <c r="H190">
        <f>获奖信息!H188</f>
        <v>0</v>
      </c>
      <c r="I190">
        <f>获奖信息!I188</f>
        <v>0</v>
      </c>
      <c r="J190">
        <f>获奖信息!J188</f>
        <v>0</v>
      </c>
      <c r="K190">
        <f>获奖信息!K188</f>
        <v>0</v>
      </c>
      <c r="L190">
        <f>获奖信息!L188</f>
        <v>0</v>
      </c>
      <c r="M190">
        <f>获奖信息!M188</f>
        <v>0</v>
      </c>
      <c r="N190">
        <f>获奖信息!N188</f>
        <v>0</v>
      </c>
      <c r="O190">
        <f>获奖信息!O188</f>
        <v>0</v>
      </c>
    </row>
    <row r="191" spans="1:15" x14ac:dyDescent="0.2">
      <c r="A191">
        <f>获奖信息!A189</f>
        <v>0</v>
      </c>
      <c r="B191">
        <f>获奖信息!B189</f>
        <v>0</v>
      </c>
      <c r="C191">
        <f>获奖信息!C189</f>
        <v>0</v>
      </c>
      <c r="D191">
        <f>获奖信息!D189</f>
        <v>0</v>
      </c>
      <c r="E191">
        <f>获奖信息!E189</f>
        <v>0</v>
      </c>
      <c r="F191">
        <f>获奖信息!F189</f>
        <v>0</v>
      </c>
      <c r="G191">
        <f>获奖信息!G189</f>
        <v>0</v>
      </c>
      <c r="H191">
        <f>获奖信息!H189</f>
        <v>0</v>
      </c>
      <c r="I191">
        <f>获奖信息!I189</f>
        <v>0</v>
      </c>
      <c r="J191">
        <f>获奖信息!J189</f>
        <v>0</v>
      </c>
      <c r="K191">
        <f>获奖信息!K189</f>
        <v>0</v>
      </c>
      <c r="L191">
        <f>获奖信息!L189</f>
        <v>0</v>
      </c>
      <c r="M191">
        <f>获奖信息!M189</f>
        <v>0</v>
      </c>
      <c r="N191">
        <f>获奖信息!N189</f>
        <v>0</v>
      </c>
      <c r="O191">
        <f>获奖信息!O189</f>
        <v>0</v>
      </c>
    </row>
    <row r="192" spans="1:15" x14ac:dyDescent="0.2">
      <c r="A192">
        <f>获奖信息!A190</f>
        <v>0</v>
      </c>
      <c r="B192">
        <f>获奖信息!B190</f>
        <v>0</v>
      </c>
      <c r="C192">
        <f>获奖信息!C190</f>
        <v>0</v>
      </c>
      <c r="D192">
        <f>获奖信息!D190</f>
        <v>0</v>
      </c>
      <c r="E192">
        <f>获奖信息!E190</f>
        <v>0</v>
      </c>
      <c r="F192">
        <f>获奖信息!F190</f>
        <v>0</v>
      </c>
      <c r="G192">
        <f>获奖信息!G190</f>
        <v>0</v>
      </c>
      <c r="H192">
        <f>获奖信息!H190</f>
        <v>0</v>
      </c>
      <c r="I192">
        <f>获奖信息!I190</f>
        <v>0</v>
      </c>
      <c r="J192">
        <f>获奖信息!J190</f>
        <v>0</v>
      </c>
      <c r="K192">
        <f>获奖信息!K190</f>
        <v>0</v>
      </c>
      <c r="L192">
        <f>获奖信息!L190</f>
        <v>0</v>
      </c>
      <c r="M192">
        <f>获奖信息!M190</f>
        <v>0</v>
      </c>
      <c r="N192">
        <f>获奖信息!N190</f>
        <v>0</v>
      </c>
      <c r="O192">
        <f>获奖信息!O190</f>
        <v>0</v>
      </c>
    </row>
    <row r="193" spans="1:15" x14ac:dyDescent="0.2">
      <c r="A193">
        <f>获奖信息!A191</f>
        <v>0</v>
      </c>
      <c r="B193">
        <f>获奖信息!B191</f>
        <v>0</v>
      </c>
      <c r="C193">
        <f>获奖信息!C191</f>
        <v>0</v>
      </c>
      <c r="D193">
        <f>获奖信息!D191</f>
        <v>0</v>
      </c>
      <c r="E193">
        <f>获奖信息!E191</f>
        <v>0</v>
      </c>
      <c r="F193">
        <f>获奖信息!F191</f>
        <v>0</v>
      </c>
      <c r="G193">
        <f>获奖信息!G191</f>
        <v>0</v>
      </c>
      <c r="H193">
        <f>获奖信息!H191</f>
        <v>0</v>
      </c>
      <c r="I193">
        <f>获奖信息!I191</f>
        <v>0</v>
      </c>
      <c r="J193">
        <f>获奖信息!J191</f>
        <v>0</v>
      </c>
      <c r="K193">
        <f>获奖信息!K191</f>
        <v>0</v>
      </c>
      <c r="L193">
        <f>获奖信息!L191</f>
        <v>0</v>
      </c>
      <c r="M193">
        <f>获奖信息!M191</f>
        <v>0</v>
      </c>
      <c r="N193">
        <f>获奖信息!N191</f>
        <v>0</v>
      </c>
      <c r="O193">
        <f>获奖信息!O191</f>
        <v>0</v>
      </c>
    </row>
    <row r="194" spans="1:15" x14ac:dyDescent="0.2">
      <c r="A194">
        <f>获奖信息!A192</f>
        <v>0</v>
      </c>
      <c r="B194">
        <f>获奖信息!B192</f>
        <v>0</v>
      </c>
      <c r="C194">
        <f>获奖信息!C192</f>
        <v>0</v>
      </c>
      <c r="D194">
        <f>获奖信息!D192</f>
        <v>0</v>
      </c>
      <c r="E194">
        <f>获奖信息!E192</f>
        <v>0</v>
      </c>
      <c r="F194">
        <f>获奖信息!F192</f>
        <v>0</v>
      </c>
      <c r="G194">
        <f>获奖信息!G192</f>
        <v>0</v>
      </c>
      <c r="H194">
        <f>获奖信息!H192</f>
        <v>0</v>
      </c>
      <c r="I194">
        <f>获奖信息!I192</f>
        <v>0</v>
      </c>
      <c r="J194">
        <f>获奖信息!J192</f>
        <v>0</v>
      </c>
      <c r="K194">
        <f>获奖信息!K192</f>
        <v>0</v>
      </c>
      <c r="L194">
        <f>获奖信息!L192</f>
        <v>0</v>
      </c>
      <c r="M194">
        <f>获奖信息!M192</f>
        <v>0</v>
      </c>
      <c r="N194">
        <f>获奖信息!N192</f>
        <v>0</v>
      </c>
      <c r="O194">
        <f>获奖信息!O192</f>
        <v>0</v>
      </c>
    </row>
    <row r="195" spans="1:15" x14ac:dyDescent="0.2">
      <c r="A195">
        <f>获奖信息!A193</f>
        <v>0</v>
      </c>
      <c r="B195">
        <f>获奖信息!B193</f>
        <v>0</v>
      </c>
      <c r="C195">
        <f>获奖信息!C193</f>
        <v>0</v>
      </c>
      <c r="D195">
        <f>获奖信息!D193</f>
        <v>0</v>
      </c>
      <c r="E195">
        <f>获奖信息!E193</f>
        <v>0</v>
      </c>
      <c r="F195">
        <f>获奖信息!F193</f>
        <v>0</v>
      </c>
      <c r="G195">
        <f>获奖信息!G193</f>
        <v>0</v>
      </c>
      <c r="H195">
        <f>获奖信息!H193</f>
        <v>0</v>
      </c>
      <c r="I195">
        <f>获奖信息!I193</f>
        <v>0</v>
      </c>
      <c r="J195">
        <f>获奖信息!J193</f>
        <v>0</v>
      </c>
      <c r="K195">
        <f>获奖信息!K193</f>
        <v>0</v>
      </c>
      <c r="L195">
        <f>获奖信息!L193</f>
        <v>0</v>
      </c>
      <c r="M195">
        <f>获奖信息!M193</f>
        <v>0</v>
      </c>
      <c r="N195">
        <f>获奖信息!N193</f>
        <v>0</v>
      </c>
      <c r="O195">
        <f>获奖信息!O193</f>
        <v>0</v>
      </c>
    </row>
    <row r="196" spans="1:15" x14ac:dyDescent="0.2">
      <c r="A196">
        <f>获奖信息!A194</f>
        <v>0</v>
      </c>
      <c r="B196">
        <f>获奖信息!B194</f>
        <v>0</v>
      </c>
      <c r="C196">
        <f>获奖信息!C194</f>
        <v>0</v>
      </c>
      <c r="D196">
        <f>获奖信息!D194</f>
        <v>0</v>
      </c>
      <c r="E196">
        <f>获奖信息!E194</f>
        <v>0</v>
      </c>
      <c r="F196">
        <f>获奖信息!F194</f>
        <v>0</v>
      </c>
      <c r="G196">
        <f>获奖信息!G194</f>
        <v>0</v>
      </c>
      <c r="H196">
        <f>获奖信息!H194</f>
        <v>0</v>
      </c>
      <c r="I196">
        <f>获奖信息!I194</f>
        <v>0</v>
      </c>
      <c r="J196">
        <f>获奖信息!J194</f>
        <v>0</v>
      </c>
      <c r="K196">
        <f>获奖信息!K194</f>
        <v>0</v>
      </c>
      <c r="L196">
        <f>获奖信息!L194</f>
        <v>0</v>
      </c>
      <c r="M196">
        <f>获奖信息!M194</f>
        <v>0</v>
      </c>
      <c r="N196">
        <f>获奖信息!N194</f>
        <v>0</v>
      </c>
      <c r="O196">
        <f>获奖信息!O194</f>
        <v>0</v>
      </c>
    </row>
    <row r="197" spans="1:15" x14ac:dyDescent="0.2">
      <c r="A197">
        <f>获奖信息!A195</f>
        <v>0</v>
      </c>
      <c r="B197">
        <f>获奖信息!B195</f>
        <v>0</v>
      </c>
      <c r="C197">
        <f>获奖信息!C195</f>
        <v>0</v>
      </c>
      <c r="D197">
        <f>获奖信息!D195</f>
        <v>0</v>
      </c>
      <c r="E197">
        <f>获奖信息!E195</f>
        <v>0</v>
      </c>
      <c r="F197">
        <f>获奖信息!F195</f>
        <v>0</v>
      </c>
      <c r="G197">
        <f>获奖信息!G195</f>
        <v>0</v>
      </c>
      <c r="H197">
        <f>获奖信息!H195</f>
        <v>0</v>
      </c>
      <c r="I197">
        <f>获奖信息!I195</f>
        <v>0</v>
      </c>
      <c r="J197">
        <f>获奖信息!J195</f>
        <v>0</v>
      </c>
      <c r="K197">
        <f>获奖信息!K195</f>
        <v>0</v>
      </c>
      <c r="L197">
        <f>获奖信息!L195</f>
        <v>0</v>
      </c>
      <c r="M197">
        <f>获奖信息!M195</f>
        <v>0</v>
      </c>
      <c r="N197">
        <f>获奖信息!N195</f>
        <v>0</v>
      </c>
      <c r="O197">
        <f>获奖信息!O195</f>
        <v>0</v>
      </c>
    </row>
    <row r="198" spans="1:15" x14ac:dyDescent="0.2">
      <c r="A198">
        <f>获奖信息!A196</f>
        <v>0</v>
      </c>
      <c r="B198">
        <f>获奖信息!B196</f>
        <v>0</v>
      </c>
      <c r="C198">
        <f>获奖信息!C196</f>
        <v>0</v>
      </c>
      <c r="D198">
        <f>获奖信息!D196</f>
        <v>0</v>
      </c>
      <c r="E198">
        <f>获奖信息!E196</f>
        <v>0</v>
      </c>
      <c r="F198">
        <f>获奖信息!F196</f>
        <v>0</v>
      </c>
      <c r="G198">
        <f>获奖信息!G196</f>
        <v>0</v>
      </c>
      <c r="H198">
        <f>获奖信息!H196</f>
        <v>0</v>
      </c>
      <c r="I198">
        <f>获奖信息!I196</f>
        <v>0</v>
      </c>
      <c r="J198">
        <f>获奖信息!J196</f>
        <v>0</v>
      </c>
      <c r="K198">
        <f>获奖信息!K196</f>
        <v>0</v>
      </c>
      <c r="L198">
        <f>获奖信息!L196</f>
        <v>0</v>
      </c>
      <c r="M198">
        <f>获奖信息!M196</f>
        <v>0</v>
      </c>
      <c r="N198">
        <f>获奖信息!N196</f>
        <v>0</v>
      </c>
      <c r="O198">
        <f>获奖信息!O196</f>
        <v>0</v>
      </c>
    </row>
    <row r="199" spans="1:15" x14ac:dyDescent="0.2">
      <c r="A199">
        <f>获奖信息!A197</f>
        <v>0</v>
      </c>
      <c r="B199">
        <f>获奖信息!B197</f>
        <v>0</v>
      </c>
      <c r="C199">
        <f>获奖信息!C197</f>
        <v>0</v>
      </c>
      <c r="D199">
        <f>获奖信息!D197</f>
        <v>0</v>
      </c>
      <c r="E199">
        <f>获奖信息!E197</f>
        <v>0</v>
      </c>
      <c r="F199">
        <f>获奖信息!F197</f>
        <v>0</v>
      </c>
      <c r="G199">
        <f>获奖信息!G197</f>
        <v>0</v>
      </c>
      <c r="H199">
        <f>获奖信息!H197</f>
        <v>0</v>
      </c>
      <c r="I199">
        <f>获奖信息!I197</f>
        <v>0</v>
      </c>
      <c r="J199">
        <f>获奖信息!J197</f>
        <v>0</v>
      </c>
      <c r="K199">
        <f>获奖信息!K197</f>
        <v>0</v>
      </c>
      <c r="L199">
        <f>获奖信息!L197</f>
        <v>0</v>
      </c>
      <c r="M199">
        <f>获奖信息!M197</f>
        <v>0</v>
      </c>
      <c r="N199">
        <f>获奖信息!N197</f>
        <v>0</v>
      </c>
      <c r="O199">
        <f>获奖信息!O197</f>
        <v>0</v>
      </c>
    </row>
    <row r="200" spans="1:15" x14ac:dyDescent="0.2">
      <c r="A200">
        <f>获奖信息!A198</f>
        <v>0</v>
      </c>
      <c r="B200">
        <f>获奖信息!B198</f>
        <v>0</v>
      </c>
      <c r="C200">
        <f>获奖信息!C198</f>
        <v>0</v>
      </c>
      <c r="D200">
        <f>获奖信息!D198</f>
        <v>0</v>
      </c>
      <c r="E200">
        <f>获奖信息!E198</f>
        <v>0</v>
      </c>
      <c r="F200">
        <f>获奖信息!F198</f>
        <v>0</v>
      </c>
      <c r="G200">
        <f>获奖信息!G198</f>
        <v>0</v>
      </c>
      <c r="H200">
        <f>获奖信息!H198</f>
        <v>0</v>
      </c>
      <c r="I200">
        <f>获奖信息!I198</f>
        <v>0</v>
      </c>
      <c r="J200">
        <f>获奖信息!J198</f>
        <v>0</v>
      </c>
      <c r="K200">
        <f>获奖信息!K198</f>
        <v>0</v>
      </c>
      <c r="L200">
        <f>获奖信息!L198</f>
        <v>0</v>
      </c>
      <c r="M200">
        <f>获奖信息!M198</f>
        <v>0</v>
      </c>
      <c r="N200">
        <f>获奖信息!N198</f>
        <v>0</v>
      </c>
      <c r="O200">
        <f>获奖信息!O198</f>
        <v>0</v>
      </c>
    </row>
    <row r="201" spans="1:15" x14ac:dyDescent="0.2">
      <c r="A201">
        <f>获奖信息!A199</f>
        <v>0</v>
      </c>
      <c r="B201">
        <f>获奖信息!B199</f>
        <v>0</v>
      </c>
      <c r="C201">
        <f>获奖信息!C199</f>
        <v>0</v>
      </c>
      <c r="D201">
        <f>获奖信息!D199</f>
        <v>0</v>
      </c>
      <c r="E201">
        <f>获奖信息!E199</f>
        <v>0</v>
      </c>
      <c r="F201">
        <f>获奖信息!F199</f>
        <v>0</v>
      </c>
      <c r="G201">
        <f>获奖信息!G199</f>
        <v>0</v>
      </c>
      <c r="H201">
        <f>获奖信息!H199</f>
        <v>0</v>
      </c>
      <c r="I201">
        <f>获奖信息!I199</f>
        <v>0</v>
      </c>
      <c r="J201">
        <f>获奖信息!J199</f>
        <v>0</v>
      </c>
      <c r="K201">
        <f>获奖信息!K199</f>
        <v>0</v>
      </c>
      <c r="L201">
        <f>获奖信息!L199</f>
        <v>0</v>
      </c>
      <c r="M201">
        <f>获奖信息!M199</f>
        <v>0</v>
      </c>
      <c r="N201">
        <f>获奖信息!N199</f>
        <v>0</v>
      </c>
      <c r="O201">
        <f>获奖信息!O199</f>
        <v>0</v>
      </c>
    </row>
    <row r="202" spans="1:15" x14ac:dyDescent="0.2">
      <c r="A202">
        <f>获奖信息!A200</f>
        <v>0</v>
      </c>
      <c r="B202">
        <f>获奖信息!B200</f>
        <v>0</v>
      </c>
      <c r="C202">
        <f>获奖信息!C200</f>
        <v>0</v>
      </c>
      <c r="D202">
        <f>获奖信息!D200</f>
        <v>0</v>
      </c>
      <c r="E202">
        <f>获奖信息!E200</f>
        <v>0</v>
      </c>
      <c r="F202">
        <f>获奖信息!F200</f>
        <v>0</v>
      </c>
      <c r="G202">
        <f>获奖信息!G200</f>
        <v>0</v>
      </c>
      <c r="H202">
        <f>获奖信息!H200</f>
        <v>0</v>
      </c>
      <c r="I202">
        <f>获奖信息!I200</f>
        <v>0</v>
      </c>
      <c r="J202">
        <f>获奖信息!J200</f>
        <v>0</v>
      </c>
      <c r="K202">
        <f>获奖信息!K200</f>
        <v>0</v>
      </c>
      <c r="L202">
        <f>获奖信息!L200</f>
        <v>0</v>
      </c>
      <c r="M202">
        <f>获奖信息!M200</f>
        <v>0</v>
      </c>
      <c r="N202">
        <f>获奖信息!N200</f>
        <v>0</v>
      </c>
      <c r="O202">
        <f>获奖信息!O200</f>
        <v>0</v>
      </c>
    </row>
    <row r="203" spans="1:15" x14ac:dyDescent="0.2">
      <c r="A203">
        <f>获奖信息!A201</f>
        <v>0</v>
      </c>
      <c r="B203">
        <f>获奖信息!B201</f>
        <v>0</v>
      </c>
      <c r="C203">
        <f>获奖信息!C201</f>
        <v>0</v>
      </c>
      <c r="D203">
        <f>获奖信息!D201</f>
        <v>0</v>
      </c>
      <c r="E203">
        <f>获奖信息!E201</f>
        <v>0</v>
      </c>
      <c r="F203">
        <f>获奖信息!F201</f>
        <v>0</v>
      </c>
      <c r="G203">
        <f>获奖信息!G201</f>
        <v>0</v>
      </c>
      <c r="H203">
        <f>获奖信息!H201</f>
        <v>0</v>
      </c>
      <c r="I203">
        <f>获奖信息!I201</f>
        <v>0</v>
      </c>
      <c r="J203">
        <f>获奖信息!J201</f>
        <v>0</v>
      </c>
      <c r="K203">
        <f>获奖信息!K201</f>
        <v>0</v>
      </c>
      <c r="L203">
        <f>获奖信息!L201</f>
        <v>0</v>
      </c>
      <c r="M203">
        <f>获奖信息!M201</f>
        <v>0</v>
      </c>
      <c r="N203">
        <f>获奖信息!N201</f>
        <v>0</v>
      </c>
      <c r="O203">
        <f>获奖信息!O201</f>
        <v>0</v>
      </c>
    </row>
    <row r="204" spans="1:15" x14ac:dyDescent="0.2">
      <c r="A204">
        <f>获奖信息!A202</f>
        <v>0</v>
      </c>
      <c r="B204">
        <f>获奖信息!B202</f>
        <v>0</v>
      </c>
      <c r="C204">
        <f>获奖信息!C202</f>
        <v>0</v>
      </c>
      <c r="D204">
        <f>获奖信息!D202</f>
        <v>0</v>
      </c>
      <c r="E204">
        <f>获奖信息!E202</f>
        <v>0</v>
      </c>
      <c r="F204">
        <f>获奖信息!F202</f>
        <v>0</v>
      </c>
      <c r="G204">
        <f>获奖信息!G202</f>
        <v>0</v>
      </c>
      <c r="H204">
        <f>获奖信息!H202</f>
        <v>0</v>
      </c>
      <c r="I204">
        <f>获奖信息!I202</f>
        <v>0</v>
      </c>
      <c r="J204">
        <f>获奖信息!J202</f>
        <v>0</v>
      </c>
      <c r="K204">
        <f>获奖信息!K202</f>
        <v>0</v>
      </c>
      <c r="L204">
        <f>获奖信息!L202</f>
        <v>0</v>
      </c>
      <c r="M204">
        <f>获奖信息!M202</f>
        <v>0</v>
      </c>
      <c r="N204">
        <f>获奖信息!N202</f>
        <v>0</v>
      </c>
      <c r="O204">
        <f>获奖信息!O202</f>
        <v>0</v>
      </c>
    </row>
    <row r="205" spans="1:15" x14ac:dyDescent="0.2">
      <c r="A205">
        <f>获奖信息!A203</f>
        <v>0</v>
      </c>
      <c r="B205">
        <f>获奖信息!B203</f>
        <v>0</v>
      </c>
      <c r="C205">
        <f>获奖信息!C203</f>
        <v>0</v>
      </c>
      <c r="D205">
        <f>获奖信息!D203</f>
        <v>0</v>
      </c>
      <c r="E205">
        <f>获奖信息!E203</f>
        <v>0</v>
      </c>
      <c r="F205">
        <f>获奖信息!F203</f>
        <v>0</v>
      </c>
      <c r="G205">
        <f>获奖信息!G203</f>
        <v>0</v>
      </c>
      <c r="H205">
        <f>获奖信息!H203</f>
        <v>0</v>
      </c>
      <c r="I205">
        <f>获奖信息!I203</f>
        <v>0</v>
      </c>
      <c r="J205">
        <f>获奖信息!J203</f>
        <v>0</v>
      </c>
      <c r="K205">
        <f>获奖信息!K203</f>
        <v>0</v>
      </c>
      <c r="L205">
        <f>获奖信息!L203</f>
        <v>0</v>
      </c>
      <c r="M205">
        <f>获奖信息!M203</f>
        <v>0</v>
      </c>
      <c r="N205">
        <f>获奖信息!N203</f>
        <v>0</v>
      </c>
      <c r="O205">
        <f>获奖信息!O203</f>
        <v>0</v>
      </c>
    </row>
    <row r="206" spans="1:15" x14ac:dyDescent="0.2">
      <c r="A206">
        <f>获奖信息!A204</f>
        <v>0</v>
      </c>
      <c r="B206">
        <f>获奖信息!B204</f>
        <v>0</v>
      </c>
      <c r="C206">
        <f>获奖信息!C204</f>
        <v>0</v>
      </c>
      <c r="D206">
        <f>获奖信息!D204</f>
        <v>0</v>
      </c>
      <c r="E206">
        <f>获奖信息!E204</f>
        <v>0</v>
      </c>
      <c r="F206">
        <f>获奖信息!F204</f>
        <v>0</v>
      </c>
      <c r="G206">
        <f>获奖信息!G204</f>
        <v>0</v>
      </c>
      <c r="H206">
        <f>获奖信息!H204</f>
        <v>0</v>
      </c>
      <c r="I206">
        <f>获奖信息!I204</f>
        <v>0</v>
      </c>
      <c r="J206">
        <f>获奖信息!J204</f>
        <v>0</v>
      </c>
      <c r="K206">
        <f>获奖信息!K204</f>
        <v>0</v>
      </c>
      <c r="L206">
        <f>获奖信息!L204</f>
        <v>0</v>
      </c>
      <c r="M206">
        <f>获奖信息!M204</f>
        <v>0</v>
      </c>
      <c r="N206">
        <f>获奖信息!N204</f>
        <v>0</v>
      </c>
      <c r="O206">
        <f>获奖信息!O204</f>
        <v>0</v>
      </c>
    </row>
    <row r="207" spans="1:15" x14ac:dyDescent="0.2">
      <c r="A207">
        <f>获奖信息!A205</f>
        <v>0</v>
      </c>
      <c r="B207">
        <f>获奖信息!B205</f>
        <v>0</v>
      </c>
      <c r="C207">
        <f>获奖信息!C205</f>
        <v>0</v>
      </c>
      <c r="D207">
        <f>获奖信息!D205</f>
        <v>0</v>
      </c>
      <c r="E207">
        <f>获奖信息!E205</f>
        <v>0</v>
      </c>
      <c r="F207">
        <f>获奖信息!F205</f>
        <v>0</v>
      </c>
      <c r="G207">
        <f>获奖信息!G205</f>
        <v>0</v>
      </c>
      <c r="H207">
        <f>获奖信息!H205</f>
        <v>0</v>
      </c>
      <c r="I207">
        <f>获奖信息!I205</f>
        <v>0</v>
      </c>
      <c r="J207">
        <f>获奖信息!J205</f>
        <v>0</v>
      </c>
      <c r="K207">
        <f>获奖信息!K205</f>
        <v>0</v>
      </c>
      <c r="L207">
        <f>获奖信息!L205</f>
        <v>0</v>
      </c>
      <c r="M207">
        <f>获奖信息!M205</f>
        <v>0</v>
      </c>
      <c r="N207">
        <f>获奖信息!N205</f>
        <v>0</v>
      </c>
      <c r="O207">
        <f>获奖信息!O205</f>
        <v>0</v>
      </c>
    </row>
    <row r="208" spans="1:15" x14ac:dyDescent="0.2">
      <c r="A208">
        <f>获奖信息!A206</f>
        <v>0</v>
      </c>
      <c r="B208">
        <f>获奖信息!B206</f>
        <v>0</v>
      </c>
      <c r="C208">
        <f>获奖信息!C206</f>
        <v>0</v>
      </c>
      <c r="D208">
        <f>获奖信息!D206</f>
        <v>0</v>
      </c>
      <c r="E208">
        <f>获奖信息!E206</f>
        <v>0</v>
      </c>
      <c r="F208">
        <f>获奖信息!F206</f>
        <v>0</v>
      </c>
      <c r="G208">
        <f>获奖信息!G206</f>
        <v>0</v>
      </c>
      <c r="H208">
        <f>获奖信息!H206</f>
        <v>0</v>
      </c>
      <c r="I208">
        <f>获奖信息!I206</f>
        <v>0</v>
      </c>
      <c r="J208">
        <f>获奖信息!J206</f>
        <v>0</v>
      </c>
      <c r="K208">
        <f>获奖信息!K206</f>
        <v>0</v>
      </c>
      <c r="L208">
        <f>获奖信息!L206</f>
        <v>0</v>
      </c>
      <c r="M208">
        <f>获奖信息!M206</f>
        <v>0</v>
      </c>
      <c r="N208">
        <f>获奖信息!N206</f>
        <v>0</v>
      </c>
      <c r="O208">
        <f>获奖信息!O206</f>
        <v>0</v>
      </c>
    </row>
    <row r="209" spans="1:15" x14ac:dyDescent="0.2">
      <c r="A209">
        <f>获奖信息!A207</f>
        <v>0</v>
      </c>
      <c r="B209">
        <f>获奖信息!B207</f>
        <v>0</v>
      </c>
      <c r="C209">
        <f>获奖信息!C207</f>
        <v>0</v>
      </c>
      <c r="D209">
        <f>获奖信息!D207</f>
        <v>0</v>
      </c>
      <c r="E209">
        <f>获奖信息!E207</f>
        <v>0</v>
      </c>
      <c r="F209">
        <f>获奖信息!F207</f>
        <v>0</v>
      </c>
      <c r="G209">
        <f>获奖信息!G207</f>
        <v>0</v>
      </c>
      <c r="H209">
        <f>获奖信息!H207</f>
        <v>0</v>
      </c>
      <c r="I209">
        <f>获奖信息!I207</f>
        <v>0</v>
      </c>
      <c r="J209">
        <f>获奖信息!J207</f>
        <v>0</v>
      </c>
      <c r="K209">
        <f>获奖信息!K207</f>
        <v>0</v>
      </c>
      <c r="L209">
        <f>获奖信息!L207</f>
        <v>0</v>
      </c>
      <c r="M209">
        <f>获奖信息!M207</f>
        <v>0</v>
      </c>
      <c r="N209">
        <f>获奖信息!N207</f>
        <v>0</v>
      </c>
      <c r="O209">
        <f>获奖信息!O207</f>
        <v>0</v>
      </c>
    </row>
    <row r="210" spans="1:15" x14ac:dyDescent="0.2">
      <c r="A210">
        <f>获奖信息!A208</f>
        <v>0</v>
      </c>
      <c r="B210">
        <f>获奖信息!B208</f>
        <v>0</v>
      </c>
      <c r="C210">
        <f>获奖信息!C208</f>
        <v>0</v>
      </c>
      <c r="D210">
        <f>获奖信息!D208</f>
        <v>0</v>
      </c>
      <c r="E210">
        <f>获奖信息!E208</f>
        <v>0</v>
      </c>
      <c r="F210">
        <f>获奖信息!F208</f>
        <v>0</v>
      </c>
      <c r="G210">
        <f>获奖信息!G208</f>
        <v>0</v>
      </c>
      <c r="H210">
        <f>获奖信息!H208</f>
        <v>0</v>
      </c>
      <c r="I210">
        <f>获奖信息!I208</f>
        <v>0</v>
      </c>
      <c r="J210">
        <f>获奖信息!J208</f>
        <v>0</v>
      </c>
      <c r="K210">
        <f>获奖信息!K208</f>
        <v>0</v>
      </c>
      <c r="L210">
        <f>获奖信息!L208</f>
        <v>0</v>
      </c>
      <c r="M210">
        <f>获奖信息!M208</f>
        <v>0</v>
      </c>
      <c r="N210">
        <f>获奖信息!N208</f>
        <v>0</v>
      </c>
      <c r="O210">
        <f>获奖信息!O208</f>
        <v>0</v>
      </c>
    </row>
    <row r="211" spans="1:15" x14ac:dyDescent="0.2">
      <c r="A211">
        <f>获奖信息!A209</f>
        <v>0</v>
      </c>
      <c r="B211">
        <f>获奖信息!B209</f>
        <v>0</v>
      </c>
      <c r="C211">
        <f>获奖信息!C209</f>
        <v>0</v>
      </c>
      <c r="D211">
        <f>获奖信息!D209</f>
        <v>0</v>
      </c>
      <c r="E211">
        <f>获奖信息!E209</f>
        <v>0</v>
      </c>
      <c r="F211">
        <f>获奖信息!F209</f>
        <v>0</v>
      </c>
      <c r="G211">
        <f>获奖信息!G209</f>
        <v>0</v>
      </c>
      <c r="H211">
        <f>获奖信息!H209</f>
        <v>0</v>
      </c>
      <c r="I211">
        <f>获奖信息!I209</f>
        <v>0</v>
      </c>
      <c r="J211">
        <f>获奖信息!J209</f>
        <v>0</v>
      </c>
      <c r="K211">
        <f>获奖信息!K209</f>
        <v>0</v>
      </c>
      <c r="L211">
        <f>获奖信息!L209</f>
        <v>0</v>
      </c>
      <c r="M211">
        <f>获奖信息!M209</f>
        <v>0</v>
      </c>
      <c r="N211">
        <f>获奖信息!N209</f>
        <v>0</v>
      </c>
      <c r="O211">
        <f>获奖信息!O209</f>
        <v>0</v>
      </c>
    </row>
    <row r="212" spans="1:15" x14ac:dyDescent="0.2">
      <c r="A212">
        <f>获奖信息!A210</f>
        <v>0</v>
      </c>
      <c r="B212">
        <f>获奖信息!B210</f>
        <v>0</v>
      </c>
      <c r="C212">
        <f>获奖信息!C210</f>
        <v>0</v>
      </c>
      <c r="D212">
        <f>获奖信息!D210</f>
        <v>0</v>
      </c>
      <c r="E212">
        <f>获奖信息!E210</f>
        <v>0</v>
      </c>
      <c r="F212">
        <f>获奖信息!F210</f>
        <v>0</v>
      </c>
      <c r="G212">
        <f>获奖信息!G210</f>
        <v>0</v>
      </c>
      <c r="H212">
        <f>获奖信息!H210</f>
        <v>0</v>
      </c>
      <c r="I212">
        <f>获奖信息!I210</f>
        <v>0</v>
      </c>
      <c r="J212">
        <f>获奖信息!J210</f>
        <v>0</v>
      </c>
      <c r="K212">
        <f>获奖信息!K210</f>
        <v>0</v>
      </c>
      <c r="L212">
        <f>获奖信息!L210</f>
        <v>0</v>
      </c>
      <c r="M212">
        <f>获奖信息!M210</f>
        <v>0</v>
      </c>
      <c r="N212">
        <f>获奖信息!N210</f>
        <v>0</v>
      </c>
      <c r="O212">
        <f>获奖信息!O210</f>
        <v>0</v>
      </c>
    </row>
    <row r="213" spans="1:15" x14ac:dyDescent="0.2">
      <c r="A213">
        <f>获奖信息!A211</f>
        <v>0</v>
      </c>
      <c r="B213">
        <f>获奖信息!B211</f>
        <v>0</v>
      </c>
      <c r="C213">
        <f>获奖信息!C211</f>
        <v>0</v>
      </c>
      <c r="D213">
        <f>获奖信息!D211</f>
        <v>0</v>
      </c>
      <c r="E213">
        <f>获奖信息!E211</f>
        <v>0</v>
      </c>
      <c r="F213">
        <f>获奖信息!F211</f>
        <v>0</v>
      </c>
      <c r="G213">
        <f>获奖信息!G211</f>
        <v>0</v>
      </c>
      <c r="H213">
        <f>获奖信息!H211</f>
        <v>0</v>
      </c>
      <c r="I213">
        <f>获奖信息!I211</f>
        <v>0</v>
      </c>
      <c r="J213">
        <f>获奖信息!J211</f>
        <v>0</v>
      </c>
      <c r="K213">
        <f>获奖信息!K211</f>
        <v>0</v>
      </c>
      <c r="L213">
        <f>获奖信息!L211</f>
        <v>0</v>
      </c>
      <c r="M213">
        <f>获奖信息!M211</f>
        <v>0</v>
      </c>
      <c r="N213">
        <f>获奖信息!N211</f>
        <v>0</v>
      </c>
      <c r="O213">
        <f>获奖信息!O211</f>
        <v>0</v>
      </c>
    </row>
    <row r="214" spans="1:15" x14ac:dyDescent="0.2">
      <c r="A214">
        <f>获奖信息!A212</f>
        <v>0</v>
      </c>
      <c r="B214">
        <f>获奖信息!B212</f>
        <v>0</v>
      </c>
      <c r="C214">
        <f>获奖信息!C212</f>
        <v>0</v>
      </c>
      <c r="D214">
        <f>获奖信息!D212</f>
        <v>0</v>
      </c>
      <c r="E214">
        <f>获奖信息!E212</f>
        <v>0</v>
      </c>
      <c r="F214">
        <f>获奖信息!F212</f>
        <v>0</v>
      </c>
      <c r="G214">
        <f>获奖信息!G212</f>
        <v>0</v>
      </c>
      <c r="H214">
        <f>获奖信息!H212</f>
        <v>0</v>
      </c>
      <c r="I214">
        <f>获奖信息!I212</f>
        <v>0</v>
      </c>
      <c r="J214">
        <f>获奖信息!J212</f>
        <v>0</v>
      </c>
      <c r="K214">
        <f>获奖信息!K212</f>
        <v>0</v>
      </c>
      <c r="L214">
        <f>获奖信息!L212</f>
        <v>0</v>
      </c>
      <c r="M214">
        <f>获奖信息!M212</f>
        <v>0</v>
      </c>
      <c r="N214">
        <f>获奖信息!N212</f>
        <v>0</v>
      </c>
      <c r="O214">
        <f>获奖信息!O212</f>
        <v>0</v>
      </c>
    </row>
    <row r="215" spans="1:15" x14ac:dyDescent="0.2">
      <c r="A215">
        <f>获奖信息!A213</f>
        <v>0</v>
      </c>
      <c r="B215">
        <f>获奖信息!B213</f>
        <v>0</v>
      </c>
      <c r="C215">
        <f>获奖信息!C213</f>
        <v>0</v>
      </c>
      <c r="D215">
        <f>获奖信息!D213</f>
        <v>0</v>
      </c>
      <c r="E215">
        <f>获奖信息!E213</f>
        <v>0</v>
      </c>
      <c r="F215">
        <f>获奖信息!F213</f>
        <v>0</v>
      </c>
      <c r="G215">
        <f>获奖信息!G213</f>
        <v>0</v>
      </c>
      <c r="H215">
        <f>获奖信息!H213</f>
        <v>0</v>
      </c>
      <c r="I215">
        <f>获奖信息!I213</f>
        <v>0</v>
      </c>
      <c r="J215">
        <f>获奖信息!J213</f>
        <v>0</v>
      </c>
      <c r="K215">
        <f>获奖信息!K213</f>
        <v>0</v>
      </c>
      <c r="L215">
        <f>获奖信息!L213</f>
        <v>0</v>
      </c>
      <c r="M215">
        <f>获奖信息!M213</f>
        <v>0</v>
      </c>
      <c r="N215">
        <f>获奖信息!N213</f>
        <v>0</v>
      </c>
      <c r="O215">
        <f>获奖信息!O213</f>
        <v>0</v>
      </c>
    </row>
    <row r="216" spans="1:15" x14ac:dyDescent="0.2">
      <c r="A216">
        <f>获奖信息!A214</f>
        <v>0</v>
      </c>
      <c r="B216">
        <f>获奖信息!B214</f>
        <v>0</v>
      </c>
      <c r="C216">
        <f>获奖信息!C214</f>
        <v>0</v>
      </c>
      <c r="D216">
        <f>获奖信息!D214</f>
        <v>0</v>
      </c>
      <c r="E216">
        <f>获奖信息!E214</f>
        <v>0</v>
      </c>
      <c r="F216">
        <f>获奖信息!F214</f>
        <v>0</v>
      </c>
      <c r="G216">
        <f>获奖信息!G214</f>
        <v>0</v>
      </c>
      <c r="H216">
        <f>获奖信息!H214</f>
        <v>0</v>
      </c>
      <c r="I216">
        <f>获奖信息!I214</f>
        <v>0</v>
      </c>
      <c r="J216">
        <f>获奖信息!J214</f>
        <v>0</v>
      </c>
      <c r="K216">
        <f>获奖信息!K214</f>
        <v>0</v>
      </c>
      <c r="L216">
        <f>获奖信息!L214</f>
        <v>0</v>
      </c>
      <c r="M216">
        <f>获奖信息!M214</f>
        <v>0</v>
      </c>
      <c r="N216">
        <f>获奖信息!N214</f>
        <v>0</v>
      </c>
      <c r="O216">
        <f>获奖信息!O214</f>
        <v>0</v>
      </c>
    </row>
    <row r="217" spans="1:15" x14ac:dyDescent="0.2">
      <c r="A217">
        <f>获奖信息!A215</f>
        <v>0</v>
      </c>
      <c r="B217">
        <f>获奖信息!B215</f>
        <v>0</v>
      </c>
      <c r="C217">
        <f>获奖信息!C215</f>
        <v>0</v>
      </c>
      <c r="D217">
        <f>获奖信息!D215</f>
        <v>0</v>
      </c>
      <c r="E217">
        <f>获奖信息!E215</f>
        <v>0</v>
      </c>
      <c r="F217">
        <f>获奖信息!F215</f>
        <v>0</v>
      </c>
      <c r="G217">
        <f>获奖信息!G215</f>
        <v>0</v>
      </c>
      <c r="H217">
        <f>获奖信息!H215</f>
        <v>0</v>
      </c>
      <c r="I217">
        <f>获奖信息!I215</f>
        <v>0</v>
      </c>
      <c r="J217">
        <f>获奖信息!J215</f>
        <v>0</v>
      </c>
      <c r="K217">
        <f>获奖信息!K215</f>
        <v>0</v>
      </c>
      <c r="L217">
        <f>获奖信息!L215</f>
        <v>0</v>
      </c>
      <c r="M217">
        <f>获奖信息!M215</f>
        <v>0</v>
      </c>
      <c r="N217">
        <f>获奖信息!N215</f>
        <v>0</v>
      </c>
      <c r="O217">
        <f>获奖信息!O215</f>
        <v>0</v>
      </c>
    </row>
    <row r="218" spans="1:15" x14ac:dyDescent="0.2">
      <c r="A218">
        <f>获奖信息!A216</f>
        <v>0</v>
      </c>
      <c r="B218">
        <f>获奖信息!B216</f>
        <v>0</v>
      </c>
      <c r="C218">
        <f>获奖信息!C216</f>
        <v>0</v>
      </c>
      <c r="D218">
        <f>获奖信息!D216</f>
        <v>0</v>
      </c>
      <c r="E218">
        <f>获奖信息!E216</f>
        <v>0</v>
      </c>
      <c r="F218">
        <f>获奖信息!F216</f>
        <v>0</v>
      </c>
      <c r="G218">
        <f>获奖信息!G216</f>
        <v>0</v>
      </c>
      <c r="H218">
        <f>获奖信息!H216</f>
        <v>0</v>
      </c>
      <c r="I218">
        <f>获奖信息!I216</f>
        <v>0</v>
      </c>
      <c r="J218">
        <f>获奖信息!J216</f>
        <v>0</v>
      </c>
      <c r="K218">
        <f>获奖信息!K216</f>
        <v>0</v>
      </c>
      <c r="L218">
        <f>获奖信息!L216</f>
        <v>0</v>
      </c>
      <c r="M218">
        <f>获奖信息!M216</f>
        <v>0</v>
      </c>
      <c r="N218">
        <f>获奖信息!N216</f>
        <v>0</v>
      </c>
      <c r="O218">
        <f>获奖信息!O216</f>
        <v>0</v>
      </c>
    </row>
    <row r="219" spans="1:15" x14ac:dyDescent="0.2">
      <c r="A219">
        <f>获奖信息!A217</f>
        <v>0</v>
      </c>
      <c r="B219">
        <f>获奖信息!B217</f>
        <v>0</v>
      </c>
      <c r="C219">
        <f>获奖信息!C217</f>
        <v>0</v>
      </c>
      <c r="D219">
        <f>获奖信息!D217</f>
        <v>0</v>
      </c>
      <c r="E219">
        <f>获奖信息!E217</f>
        <v>0</v>
      </c>
      <c r="F219">
        <f>获奖信息!F217</f>
        <v>0</v>
      </c>
      <c r="G219">
        <f>获奖信息!G217</f>
        <v>0</v>
      </c>
      <c r="H219">
        <f>获奖信息!H217</f>
        <v>0</v>
      </c>
      <c r="I219">
        <f>获奖信息!I217</f>
        <v>0</v>
      </c>
      <c r="J219">
        <f>获奖信息!J217</f>
        <v>0</v>
      </c>
      <c r="K219">
        <f>获奖信息!K217</f>
        <v>0</v>
      </c>
      <c r="L219">
        <f>获奖信息!L217</f>
        <v>0</v>
      </c>
      <c r="M219">
        <f>获奖信息!M217</f>
        <v>0</v>
      </c>
      <c r="N219">
        <f>获奖信息!N217</f>
        <v>0</v>
      </c>
      <c r="O219">
        <f>获奖信息!O217</f>
        <v>0</v>
      </c>
    </row>
    <row r="220" spans="1:15" x14ac:dyDescent="0.2">
      <c r="A220">
        <f>获奖信息!A218</f>
        <v>0</v>
      </c>
      <c r="B220">
        <f>获奖信息!B218</f>
        <v>0</v>
      </c>
      <c r="C220">
        <f>获奖信息!C218</f>
        <v>0</v>
      </c>
      <c r="D220">
        <f>获奖信息!D218</f>
        <v>0</v>
      </c>
      <c r="E220">
        <f>获奖信息!E218</f>
        <v>0</v>
      </c>
      <c r="F220">
        <f>获奖信息!F218</f>
        <v>0</v>
      </c>
      <c r="G220">
        <f>获奖信息!G218</f>
        <v>0</v>
      </c>
      <c r="H220">
        <f>获奖信息!H218</f>
        <v>0</v>
      </c>
      <c r="I220">
        <f>获奖信息!I218</f>
        <v>0</v>
      </c>
      <c r="J220">
        <f>获奖信息!J218</f>
        <v>0</v>
      </c>
      <c r="K220">
        <f>获奖信息!K218</f>
        <v>0</v>
      </c>
      <c r="L220">
        <f>获奖信息!L218</f>
        <v>0</v>
      </c>
      <c r="M220">
        <f>获奖信息!M218</f>
        <v>0</v>
      </c>
      <c r="N220">
        <f>获奖信息!N218</f>
        <v>0</v>
      </c>
      <c r="O220">
        <f>获奖信息!O218</f>
        <v>0</v>
      </c>
    </row>
    <row r="221" spans="1:15" x14ac:dyDescent="0.2">
      <c r="A221">
        <f>获奖信息!A219</f>
        <v>0</v>
      </c>
      <c r="B221">
        <f>获奖信息!B219</f>
        <v>0</v>
      </c>
      <c r="C221">
        <f>获奖信息!C219</f>
        <v>0</v>
      </c>
      <c r="D221">
        <f>获奖信息!D219</f>
        <v>0</v>
      </c>
      <c r="E221">
        <f>获奖信息!E219</f>
        <v>0</v>
      </c>
      <c r="F221">
        <f>获奖信息!F219</f>
        <v>0</v>
      </c>
      <c r="G221">
        <f>获奖信息!G219</f>
        <v>0</v>
      </c>
      <c r="H221">
        <f>获奖信息!H219</f>
        <v>0</v>
      </c>
      <c r="I221">
        <f>获奖信息!I219</f>
        <v>0</v>
      </c>
      <c r="J221">
        <f>获奖信息!J219</f>
        <v>0</v>
      </c>
      <c r="K221">
        <f>获奖信息!K219</f>
        <v>0</v>
      </c>
      <c r="L221">
        <f>获奖信息!L219</f>
        <v>0</v>
      </c>
      <c r="M221">
        <f>获奖信息!M219</f>
        <v>0</v>
      </c>
      <c r="N221">
        <f>获奖信息!N219</f>
        <v>0</v>
      </c>
      <c r="O221">
        <f>获奖信息!O219</f>
        <v>0</v>
      </c>
    </row>
    <row r="222" spans="1:15" x14ac:dyDescent="0.2">
      <c r="A222">
        <f>获奖信息!A220</f>
        <v>0</v>
      </c>
      <c r="B222">
        <f>获奖信息!B220</f>
        <v>0</v>
      </c>
      <c r="C222">
        <f>获奖信息!C220</f>
        <v>0</v>
      </c>
      <c r="D222">
        <f>获奖信息!D220</f>
        <v>0</v>
      </c>
      <c r="E222">
        <f>获奖信息!E220</f>
        <v>0</v>
      </c>
      <c r="F222">
        <f>获奖信息!F220</f>
        <v>0</v>
      </c>
      <c r="G222">
        <f>获奖信息!G220</f>
        <v>0</v>
      </c>
      <c r="H222">
        <f>获奖信息!H220</f>
        <v>0</v>
      </c>
      <c r="I222">
        <f>获奖信息!I220</f>
        <v>0</v>
      </c>
      <c r="J222">
        <f>获奖信息!J220</f>
        <v>0</v>
      </c>
      <c r="K222">
        <f>获奖信息!K220</f>
        <v>0</v>
      </c>
      <c r="L222">
        <f>获奖信息!L220</f>
        <v>0</v>
      </c>
      <c r="M222">
        <f>获奖信息!M220</f>
        <v>0</v>
      </c>
      <c r="N222">
        <f>获奖信息!N220</f>
        <v>0</v>
      </c>
      <c r="O222">
        <f>获奖信息!O220</f>
        <v>0</v>
      </c>
    </row>
    <row r="223" spans="1:15" x14ac:dyDescent="0.2">
      <c r="A223">
        <f>获奖信息!A221</f>
        <v>0</v>
      </c>
      <c r="B223">
        <f>获奖信息!B221</f>
        <v>0</v>
      </c>
      <c r="C223">
        <f>获奖信息!C221</f>
        <v>0</v>
      </c>
      <c r="D223">
        <f>获奖信息!D221</f>
        <v>0</v>
      </c>
      <c r="E223">
        <f>获奖信息!E221</f>
        <v>0</v>
      </c>
      <c r="F223">
        <f>获奖信息!F221</f>
        <v>0</v>
      </c>
      <c r="G223">
        <f>获奖信息!G221</f>
        <v>0</v>
      </c>
      <c r="H223">
        <f>获奖信息!H221</f>
        <v>0</v>
      </c>
      <c r="I223">
        <f>获奖信息!I221</f>
        <v>0</v>
      </c>
      <c r="J223">
        <f>获奖信息!J221</f>
        <v>0</v>
      </c>
      <c r="K223">
        <f>获奖信息!K221</f>
        <v>0</v>
      </c>
      <c r="L223">
        <f>获奖信息!L221</f>
        <v>0</v>
      </c>
      <c r="M223">
        <f>获奖信息!M221</f>
        <v>0</v>
      </c>
      <c r="N223">
        <f>获奖信息!N221</f>
        <v>0</v>
      </c>
      <c r="O223">
        <f>获奖信息!O221</f>
        <v>0</v>
      </c>
    </row>
    <row r="224" spans="1:15" x14ac:dyDescent="0.2">
      <c r="A224">
        <f>获奖信息!A222</f>
        <v>0</v>
      </c>
      <c r="B224">
        <f>获奖信息!B222</f>
        <v>0</v>
      </c>
      <c r="C224">
        <f>获奖信息!C222</f>
        <v>0</v>
      </c>
      <c r="D224">
        <f>获奖信息!D222</f>
        <v>0</v>
      </c>
      <c r="E224">
        <f>获奖信息!E222</f>
        <v>0</v>
      </c>
      <c r="F224">
        <f>获奖信息!F222</f>
        <v>0</v>
      </c>
      <c r="G224">
        <f>获奖信息!G222</f>
        <v>0</v>
      </c>
      <c r="H224">
        <f>获奖信息!H222</f>
        <v>0</v>
      </c>
      <c r="I224">
        <f>获奖信息!I222</f>
        <v>0</v>
      </c>
      <c r="J224">
        <f>获奖信息!J222</f>
        <v>0</v>
      </c>
      <c r="K224">
        <f>获奖信息!K222</f>
        <v>0</v>
      </c>
      <c r="L224">
        <f>获奖信息!L222</f>
        <v>0</v>
      </c>
      <c r="M224">
        <f>获奖信息!M222</f>
        <v>0</v>
      </c>
      <c r="N224">
        <f>获奖信息!N222</f>
        <v>0</v>
      </c>
      <c r="O224">
        <f>获奖信息!O222</f>
        <v>0</v>
      </c>
    </row>
    <row r="225" spans="1:15" x14ac:dyDescent="0.2">
      <c r="A225">
        <f>获奖信息!A223</f>
        <v>0</v>
      </c>
      <c r="B225">
        <f>获奖信息!B223</f>
        <v>0</v>
      </c>
      <c r="C225">
        <f>获奖信息!C223</f>
        <v>0</v>
      </c>
      <c r="D225">
        <f>获奖信息!D223</f>
        <v>0</v>
      </c>
      <c r="E225">
        <f>获奖信息!E223</f>
        <v>0</v>
      </c>
      <c r="F225">
        <f>获奖信息!F223</f>
        <v>0</v>
      </c>
      <c r="G225">
        <f>获奖信息!G223</f>
        <v>0</v>
      </c>
      <c r="H225">
        <f>获奖信息!H223</f>
        <v>0</v>
      </c>
      <c r="I225">
        <f>获奖信息!I223</f>
        <v>0</v>
      </c>
      <c r="J225">
        <f>获奖信息!J223</f>
        <v>0</v>
      </c>
      <c r="K225">
        <f>获奖信息!K223</f>
        <v>0</v>
      </c>
      <c r="L225">
        <f>获奖信息!L223</f>
        <v>0</v>
      </c>
      <c r="M225">
        <f>获奖信息!M223</f>
        <v>0</v>
      </c>
      <c r="N225">
        <f>获奖信息!N223</f>
        <v>0</v>
      </c>
      <c r="O225">
        <f>获奖信息!O223</f>
        <v>0</v>
      </c>
    </row>
    <row r="226" spans="1:15" x14ac:dyDescent="0.2">
      <c r="A226">
        <f>获奖信息!A224</f>
        <v>0</v>
      </c>
      <c r="B226">
        <f>获奖信息!B224</f>
        <v>0</v>
      </c>
      <c r="C226">
        <f>获奖信息!C224</f>
        <v>0</v>
      </c>
      <c r="D226">
        <f>获奖信息!D224</f>
        <v>0</v>
      </c>
      <c r="E226">
        <f>获奖信息!E224</f>
        <v>0</v>
      </c>
      <c r="F226">
        <f>获奖信息!F224</f>
        <v>0</v>
      </c>
      <c r="G226">
        <f>获奖信息!G224</f>
        <v>0</v>
      </c>
      <c r="H226">
        <f>获奖信息!H224</f>
        <v>0</v>
      </c>
      <c r="I226">
        <f>获奖信息!I224</f>
        <v>0</v>
      </c>
      <c r="J226">
        <f>获奖信息!J224</f>
        <v>0</v>
      </c>
      <c r="K226">
        <f>获奖信息!K224</f>
        <v>0</v>
      </c>
      <c r="L226">
        <f>获奖信息!L224</f>
        <v>0</v>
      </c>
      <c r="M226">
        <f>获奖信息!M224</f>
        <v>0</v>
      </c>
      <c r="N226">
        <f>获奖信息!N224</f>
        <v>0</v>
      </c>
      <c r="O226">
        <f>获奖信息!O224</f>
        <v>0</v>
      </c>
    </row>
    <row r="227" spans="1:15" x14ac:dyDescent="0.2">
      <c r="A227">
        <f>获奖信息!A225</f>
        <v>0</v>
      </c>
      <c r="B227">
        <f>获奖信息!B225</f>
        <v>0</v>
      </c>
      <c r="C227">
        <f>获奖信息!C225</f>
        <v>0</v>
      </c>
      <c r="D227">
        <f>获奖信息!D225</f>
        <v>0</v>
      </c>
      <c r="E227">
        <f>获奖信息!E225</f>
        <v>0</v>
      </c>
      <c r="F227">
        <f>获奖信息!F225</f>
        <v>0</v>
      </c>
      <c r="G227">
        <f>获奖信息!G225</f>
        <v>0</v>
      </c>
      <c r="H227">
        <f>获奖信息!H225</f>
        <v>0</v>
      </c>
      <c r="I227">
        <f>获奖信息!I225</f>
        <v>0</v>
      </c>
      <c r="J227">
        <f>获奖信息!J225</f>
        <v>0</v>
      </c>
      <c r="K227">
        <f>获奖信息!K225</f>
        <v>0</v>
      </c>
      <c r="L227">
        <f>获奖信息!L225</f>
        <v>0</v>
      </c>
      <c r="M227">
        <f>获奖信息!M225</f>
        <v>0</v>
      </c>
      <c r="N227">
        <f>获奖信息!N225</f>
        <v>0</v>
      </c>
      <c r="O227">
        <f>获奖信息!O225</f>
        <v>0</v>
      </c>
    </row>
    <row r="228" spans="1:15" x14ac:dyDescent="0.2">
      <c r="A228">
        <f>获奖信息!A226</f>
        <v>0</v>
      </c>
      <c r="B228">
        <f>获奖信息!B226</f>
        <v>0</v>
      </c>
      <c r="C228">
        <f>获奖信息!C226</f>
        <v>0</v>
      </c>
      <c r="D228">
        <f>获奖信息!D226</f>
        <v>0</v>
      </c>
      <c r="E228">
        <f>获奖信息!E226</f>
        <v>0</v>
      </c>
      <c r="F228">
        <f>获奖信息!F226</f>
        <v>0</v>
      </c>
      <c r="G228">
        <f>获奖信息!G226</f>
        <v>0</v>
      </c>
      <c r="H228">
        <f>获奖信息!H226</f>
        <v>0</v>
      </c>
      <c r="I228">
        <f>获奖信息!I226</f>
        <v>0</v>
      </c>
      <c r="J228">
        <f>获奖信息!J226</f>
        <v>0</v>
      </c>
      <c r="K228">
        <f>获奖信息!K226</f>
        <v>0</v>
      </c>
      <c r="L228">
        <f>获奖信息!L226</f>
        <v>0</v>
      </c>
      <c r="M228">
        <f>获奖信息!M226</f>
        <v>0</v>
      </c>
      <c r="N228">
        <f>获奖信息!N226</f>
        <v>0</v>
      </c>
      <c r="O228">
        <f>获奖信息!O226</f>
        <v>0</v>
      </c>
    </row>
    <row r="229" spans="1:15" x14ac:dyDescent="0.2">
      <c r="A229">
        <f>获奖信息!A227</f>
        <v>0</v>
      </c>
      <c r="B229">
        <f>获奖信息!B227</f>
        <v>0</v>
      </c>
      <c r="C229">
        <f>获奖信息!C227</f>
        <v>0</v>
      </c>
      <c r="D229">
        <f>获奖信息!D227</f>
        <v>0</v>
      </c>
      <c r="E229">
        <f>获奖信息!E227</f>
        <v>0</v>
      </c>
      <c r="F229">
        <f>获奖信息!F227</f>
        <v>0</v>
      </c>
      <c r="G229">
        <f>获奖信息!G227</f>
        <v>0</v>
      </c>
      <c r="H229">
        <f>获奖信息!H227</f>
        <v>0</v>
      </c>
      <c r="I229">
        <f>获奖信息!I227</f>
        <v>0</v>
      </c>
      <c r="J229">
        <f>获奖信息!J227</f>
        <v>0</v>
      </c>
      <c r="K229">
        <f>获奖信息!K227</f>
        <v>0</v>
      </c>
      <c r="L229">
        <f>获奖信息!L227</f>
        <v>0</v>
      </c>
      <c r="M229">
        <f>获奖信息!M227</f>
        <v>0</v>
      </c>
      <c r="N229">
        <f>获奖信息!N227</f>
        <v>0</v>
      </c>
      <c r="O229">
        <f>获奖信息!O227</f>
        <v>0</v>
      </c>
    </row>
    <row r="230" spans="1:15" x14ac:dyDescent="0.2">
      <c r="A230">
        <f>获奖信息!A228</f>
        <v>0</v>
      </c>
      <c r="B230">
        <f>获奖信息!B228</f>
        <v>0</v>
      </c>
      <c r="C230">
        <f>获奖信息!C228</f>
        <v>0</v>
      </c>
      <c r="D230">
        <f>获奖信息!D228</f>
        <v>0</v>
      </c>
      <c r="E230">
        <f>获奖信息!E228</f>
        <v>0</v>
      </c>
      <c r="F230">
        <f>获奖信息!F228</f>
        <v>0</v>
      </c>
      <c r="G230">
        <f>获奖信息!G228</f>
        <v>0</v>
      </c>
      <c r="H230">
        <f>获奖信息!H228</f>
        <v>0</v>
      </c>
      <c r="I230">
        <f>获奖信息!I228</f>
        <v>0</v>
      </c>
      <c r="J230">
        <f>获奖信息!J228</f>
        <v>0</v>
      </c>
      <c r="K230">
        <f>获奖信息!K228</f>
        <v>0</v>
      </c>
      <c r="L230">
        <f>获奖信息!L228</f>
        <v>0</v>
      </c>
      <c r="M230">
        <f>获奖信息!M228</f>
        <v>0</v>
      </c>
      <c r="N230">
        <f>获奖信息!N228</f>
        <v>0</v>
      </c>
      <c r="O230">
        <f>获奖信息!O228</f>
        <v>0</v>
      </c>
    </row>
    <row r="231" spans="1:15" x14ac:dyDescent="0.2">
      <c r="A231">
        <f>获奖信息!A229</f>
        <v>0</v>
      </c>
      <c r="B231">
        <f>获奖信息!B229</f>
        <v>0</v>
      </c>
      <c r="C231">
        <f>获奖信息!C229</f>
        <v>0</v>
      </c>
      <c r="D231">
        <f>获奖信息!D229</f>
        <v>0</v>
      </c>
      <c r="E231">
        <f>获奖信息!E229</f>
        <v>0</v>
      </c>
      <c r="F231">
        <f>获奖信息!F229</f>
        <v>0</v>
      </c>
      <c r="G231">
        <f>获奖信息!G229</f>
        <v>0</v>
      </c>
      <c r="H231">
        <f>获奖信息!H229</f>
        <v>0</v>
      </c>
      <c r="I231">
        <f>获奖信息!I229</f>
        <v>0</v>
      </c>
      <c r="J231">
        <f>获奖信息!J229</f>
        <v>0</v>
      </c>
      <c r="K231">
        <f>获奖信息!K229</f>
        <v>0</v>
      </c>
      <c r="L231">
        <f>获奖信息!L229</f>
        <v>0</v>
      </c>
      <c r="M231">
        <f>获奖信息!M229</f>
        <v>0</v>
      </c>
      <c r="N231">
        <f>获奖信息!N229</f>
        <v>0</v>
      </c>
      <c r="O231">
        <f>获奖信息!O229</f>
        <v>0</v>
      </c>
    </row>
    <row r="232" spans="1:15" x14ac:dyDescent="0.2">
      <c r="A232">
        <f>获奖信息!A230</f>
        <v>0</v>
      </c>
      <c r="B232">
        <f>获奖信息!B230</f>
        <v>0</v>
      </c>
      <c r="C232">
        <f>获奖信息!C230</f>
        <v>0</v>
      </c>
      <c r="D232">
        <f>获奖信息!D230</f>
        <v>0</v>
      </c>
      <c r="E232">
        <f>获奖信息!E230</f>
        <v>0</v>
      </c>
      <c r="F232">
        <f>获奖信息!F230</f>
        <v>0</v>
      </c>
      <c r="G232">
        <f>获奖信息!G230</f>
        <v>0</v>
      </c>
      <c r="H232">
        <f>获奖信息!H230</f>
        <v>0</v>
      </c>
      <c r="I232">
        <f>获奖信息!I230</f>
        <v>0</v>
      </c>
      <c r="J232">
        <f>获奖信息!J230</f>
        <v>0</v>
      </c>
      <c r="K232">
        <f>获奖信息!K230</f>
        <v>0</v>
      </c>
      <c r="L232">
        <f>获奖信息!L230</f>
        <v>0</v>
      </c>
      <c r="M232">
        <f>获奖信息!M230</f>
        <v>0</v>
      </c>
      <c r="N232">
        <f>获奖信息!N230</f>
        <v>0</v>
      </c>
      <c r="O232">
        <f>获奖信息!O230</f>
        <v>0</v>
      </c>
    </row>
    <row r="233" spans="1:15" x14ac:dyDescent="0.2">
      <c r="A233">
        <f>获奖信息!A231</f>
        <v>0</v>
      </c>
      <c r="B233">
        <f>获奖信息!B231</f>
        <v>0</v>
      </c>
      <c r="C233">
        <f>获奖信息!C231</f>
        <v>0</v>
      </c>
      <c r="D233">
        <f>获奖信息!D231</f>
        <v>0</v>
      </c>
      <c r="E233">
        <f>获奖信息!E231</f>
        <v>0</v>
      </c>
      <c r="F233">
        <f>获奖信息!F231</f>
        <v>0</v>
      </c>
      <c r="G233">
        <f>获奖信息!G231</f>
        <v>0</v>
      </c>
      <c r="H233">
        <f>获奖信息!H231</f>
        <v>0</v>
      </c>
      <c r="I233">
        <f>获奖信息!I231</f>
        <v>0</v>
      </c>
      <c r="J233">
        <f>获奖信息!J231</f>
        <v>0</v>
      </c>
      <c r="K233">
        <f>获奖信息!K231</f>
        <v>0</v>
      </c>
      <c r="L233">
        <f>获奖信息!L231</f>
        <v>0</v>
      </c>
      <c r="M233">
        <f>获奖信息!M231</f>
        <v>0</v>
      </c>
      <c r="N233">
        <f>获奖信息!N231</f>
        <v>0</v>
      </c>
      <c r="O233">
        <f>获奖信息!O231</f>
        <v>0</v>
      </c>
    </row>
    <row r="234" spans="1:15" x14ac:dyDescent="0.2">
      <c r="A234">
        <f>获奖信息!A232</f>
        <v>0</v>
      </c>
      <c r="B234">
        <f>获奖信息!B232</f>
        <v>0</v>
      </c>
      <c r="C234">
        <f>获奖信息!C232</f>
        <v>0</v>
      </c>
      <c r="D234">
        <f>获奖信息!D232</f>
        <v>0</v>
      </c>
      <c r="E234">
        <f>获奖信息!E232</f>
        <v>0</v>
      </c>
      <c r="F234">
        <f>获奖信息!F232</f>
        <v>0</v>
      </c>
      <c r="G234">
        <f>获奖信息!G232</f>
        <v>0</v>
      </c>
      <c r="H234">
        <f>获奖信息!H232</f>
        <v>0</v>
      </c>
      <c r="I234">
        <f>获奖信息!I232</f>
        <v>0</v>
      </c>
      <c r="J234">
        <f>获奖信息!J232</f>
        <v>0</v>
      </c>
      <c r="K234">
        <f>获奖信息!K232</f>
        <v>0</v>
      </c>
      <c r="L234">
        <f>获奖信息!L232</f>
        <v>0</v>
      </c>
      <c r="M234">
        <f>获奖信息!M232</f>
        <v>0</v>
      </c>
      <c r="N234">
        <f>获奖信息!N232</f>
        <v>0</v>
      </c>
      <c r="O234">
        <f>获奖信息!O232</f>
        <v>0</v>
      </c>
    </row>
    <row r="235" spans="1:15" x14ac:dyDescent="0.2">
      <c r="A235">
        <f>获奖信息!A233</f>
        <v>0</v>
      </c>
      <c r="B235">
        <f>获奖信息!B233</f>
        <v>0</v>
      </c>
      <c r="C235">
        <f>获奖信息!C233</f>
        <v>0</v>
      </c>
      <c r="D235">
        <f>获奖信息!D233</f>
        <v>0</v>
      </c>
      <c r="E235">
        <f>获奖信息!E233</f>
        <v>0</v>
      </c>
      <c r="F235">
        <f>获奖信息!F233</f>
        <v>0</v>
      </c>
      <c r="G235">
        <f>获奖信息!G233</f>
        <v>0</v>
      </c>
      <c r="H235">
        <f>获奖信息!H233</f>
        <v>0</v>
      </c>
      <c r="I235">
        <f>获奖信息!I233</f>
        <v>0</v>
      </c>
      <c r="J235">
        <f>获奖信息!J233</f>
        <v>0</v>
      </c>
      <c r="K235">
        <f>获奖信息!K233</f>
        <v>0</v>
      </c>
      <c r="L235">
        <f>获奖信息!L233</f>
        <v>0</v>
      </c>
      <c r="M235">
        <f>获奖信息!M233</f>
        <v>0</v>
      </c>
      <c r="N235">
        <f>获奖信息!N233</f>
        <v>0</v>
      </c>
      <c r="O235">
        <f>获奖信息!O233</f>
        <v>0</v>
      </c>
    </row>
    <row r="236" spans="1:15" x14ac:dyDescent="0.2">
      <c r="A236">
        <f>获奖信息!A234</f>
        <v>0</v>
      </c>
      <c r="B236">
        <f>获奖信息!B234</f>
        <v>0</v>
      </c>
      <c r="C236">
        <f>获奖信息!C234</f>
        <v>0</v>
      </c>
      <c r="D236">
        <f>获奖信息!D234</f>
        <v>0</v>
      </c>
      <c r="E236">
        <f>获奖信息!E234</f>
        <v>0</v>
      </c>
      <c r="F236">
        <f>获奖信息!F234</f>
        <v>0</v>
      </c>
      <c r="G236">
        <f>获奖信息!G234</f>
        <v>0</v>
      </c>
      <c r="H236">
        <f>获奖信息!H234</f>
        <v>0</v>
      </c>
      <c r="I236">
        <f>获奖信息!I234</f>
        <v>0</v>
      </c>
      <c r="J236">
        <f>获奖信息!J234</f>
        <v>0</v>
      </c>
      <c r="K236">
        <f>获奖信息!K234</f>
        <v>0</v>
      </c>
      <c r="L236">
        <f>获奖信息!L234</f>
        <v>0</v>
      </c>
      <c r="M236">
        <f>获奖信息!M234</f>
        <v>0</v>
      </c>
      <c r="N236">
        <f>获奖信息!N234</f>
        <v>0</v>
      </c>
      <c r="O236">
        <f>获奖信息!O234</f>
        <v>0</v>
      </c>
    </row>
    <row r="237" spans="1:15" x14ac:dyDescent="0.2">
      <c r="A237">
        <f>获奖信息!A235</f>
        <v>0</v>
      </c>
      <c r="B237">
        <f>获奖信息!B235</f>
        <v>0</v>
      </c>
      <c r="C237">
        <f>获奖信息!C235</f>
        <v>0</v>
      </c>
      <c r="D237">
        <f>获奖信息!D235</f>
        <v>0</v>
      </c>
      <c r="E237">
        <f>获奖信息!E235</f>
        <v>0</v>
      </c>
      <c r="F237">
        <f>获奖信息!F235</f>
        <v>0</v>
      </c>
      <c r="G237">
        <f>获奖信息!G235</f>
        <v>0</v>
      </c>
      <c r="H237">
        <f>获奖信息!H235</f>
        <v>0</v>
      </c>
      <c r="I237">
        <f>获奖信息!I235</f>
        <v>0</v>
      </c>
      <c r="J237">
        <f>获奖信息!J235</f>
        <v>0</v>
      </c>
      <c r="K237">
        <f>获奖信息!K235</f>
        <v>0</v>
      </c>
      <c r="L237">
        <f>获奖信息!L235</f>
        <v>0</v>
      </c>
      <c r="M237">
        <f>获奖信息!M235</f>
        <v>0</v>
      </c>
      <c r="N237">
        <f>获奖信息!N235</f>
        <v>0</v>
      </c>
      <c r="O237">
        <f>获奖信息!O235</f>
        <v>0</v>
      </c>
    </row>
    <row r="238" spans="1:15" x14ac:dyDescent="0.2">
      <c r="A238">
        <f>获奖信息!A236</f>
        <v>0</v>
      </c>
      <c r="B238">
        <f>获奖信息!B236</f>
        <v>0</v>
      </c>
      <c r="C238">
        <f>获奖信息!C236</f>
        <v>0</v>
      </c>
      <c r="D238">
        <f>获奖信息!D236</f>
        <v>0</v>
      </c>
      <c r="E238">
        <f>获奖信息!E236</f>
        <v>0</v>
      </c>
      <c r="F238">
        <f>获奖信息!F236</f>
        <v>0</v>
      </c>
      <c r="G238">
        <f>获奖信息!G236</f>
        <v>0</v>
      </c>
      <c r="H238">
        <f>获奖信息!H236</f>
        <v>0</v>
      </c>
      <c r="I238">
        <f>获奖信息!I236</f>
        <v>0</v>
      </c>
      <c r="J238">
        <f>获奖信息!J236</f>
        <v>0</v>
      </c>
      <c r="K238">
        <f>获奖信息!K236</f>
        <v>0</v>
      </c>
      <c r="L238">
        <f>获奖信息!L236</f>
        <v>0</v>
      </c>
      <c r="M238">
        <f>获奖信息!M236</f>
        <v>0</v>
      </c>
      <c r="N238">
        <f>获奖信息!N236</f>
        <v>0</v>
      </c>
      <c r="O238">
        <f>获奖信息!O236</f>
        <v>0</v>
      </c>
    </row>
    <row r="239" spans="1:15" x14ac:dyDescent="0.2">
      <c r="A239">
        <f>获奖信息!A237</f>
        <v>0</v>
      </c>
      <c r="B239">
        <f>获奖信息!B237</f>
        <v>0</v>
      </c>
      <c r="C239">
        <f>获奖信息!C237</f>
        <v>0</v>
      </c>
      <c r="D239">
        <f>获奖信息!D237</f>
        <v>0</v>
      </c>
      <c r="E239">
        <f>获奖信息!E237</f>
        <v>0</v>
      </c>
      <c r="F239">
        <f>获奖信息!F237</f>
        <v>0</v>
      </c>
      <c r="G239">
        <f>获奖信息!G237</f>
        <v>0</v>
      </c>
      <c r="H239">
        <f>获奖信息!H237</f>
        <v>0</v>
      </c>
      <c r="I239">
        <f>获奖信息!I237</f>
        <v>0</v>
      </c>
      <c r="J239">
        <f>获奖信息!J237</f>
        <v>0</v>
      </c>
      <c r="K239">
        <f>获奖信息!K237</f>
        <v>0</v>
      </c>
      <c r="L239">
        <f>获奖信息!L237</f>
        <v>0</v>
      </c>
      <c r="M239">
        <f>获奖信息!M237</f>
        <v>0</v>
      </c>
      <c r="N239">
        <f>获奖信息!N237</f>
        <v>0</v>
      </c>
      <c r="O239">
        <f>获奖信息!O237</f>
        <v>0</v>
      </c>
    </row>
    <row r="240" spans="1:15" x14ac:dyDescent="0.2">
      <c r="A240">
        <f>获奖信息!A238</f>
        <v>0</v>
      </c>
      <c r="B240">
        <f>获奖信息!B238</f>
        <v>0</v>
      </c>
      <c r="C240">
        <f>获奖信息!C238</f>
        <v>0</v>
      </c>
      <c r="D240">
        <f>获奖信息!D238</f>
        <v>0</v>
      </c>
      <c r="E240">
        <f>获奖信息!E238</f>
        <v>0</v>
      </c>
      <c r="F240">
        <f>获奖信息!F238</f>
        <v>0</v>
      </c>
      <c r="G240">
        <f>获奖信息!G238</f>
        <v>0</v>
      </c>
      <c r="H240">
        <f>获奖信息!H238</f>
        <v>0</v>
      </c>
      <c r="I240">
        <f>获奖信息!I238</f>
        <v>0</v>
      </c>
      <c r="J240">
        <f>获奖信息!J238</f>
        <v>0</v>
      </c>
      <c r="K240">
        <f>获奖信息!K238</f>
        <v>0</v>
      </c>
      <c r="L240">
        <f>获奖信息!L238</f>
        <v>0</v>
      </c>
      <c r="M240">
        <f>获奖信息!M238</f>
        <v>0</v>
      </c>
      <c r="N240">
        <f>获奖信息!N238</f>
        <v>0</v>
      </c>
      <c r="O240">
        <f>获奖信息!O238</f>
        <v>0</v>
      </c>
    </row>
    <row r="241" spans="1:15" x14ac:dyDescent="0.2">
      <c r="A241">
        <f>获奖信息!A239</f>
        <v>0</v>
      </c>
      <c r="B241">
        <f>获奖信息!B239</f>
        <v>0</v>
      </c>
      <c r="C241">
        <f>获奖信息!C239</f>
        <v>0</v>
      </c>
      <c r="D241">
        <f>获奖信息!D239</f>
        <v>0</v>
      </c>
      <c r="E241">
        <f>获奖信息!E239</f>
        <v>0</v>
      </c>
      <c r="F241">
        <f>获奖信息!F239</f>
        <v>0</v>
      </c>
      <c r="G241">
        <f>获奖信息!G239</f>
        <v>0</v>
      </c>
      <c r="H241">
        <f>获奖信息!H239</f>
        <v>0</v>
      </c>
      <c r="I241">
        <f>获奖信息!I239</f>
        <v>0</v>
      </c>
      <c r="J241">
        <f>获奖信息!J239</f>
        <v>0</v>
      </c>
      <c r="K241">
        <f>获奖信息!K239</f>
        <v>0</v>
      </c>
      <c r="L241">
        <f>获奖信息!L239</f>
        <v>0</v>
      </c>
      <c r="M241">
        <f>获奖信息!M239</f>
        <v>0</v>
      </c>
      <c r="N241">
        <f>获奖信息!N239</f>
        <v>0</v>
      </c>
      <c r="O241">
        <f>获奖信息!O239</f>
        <v>0</v>
      </c>
    </row>
    <row r="242" spans="1:15" x14ac:dyDescent="0.2">
      <c r="A242">
        <f>获奖信息!A240</f>
        <v>0</v>
      </c>
      <c r="B242">
        <f>获奖信息!B240</f>
        <v>0</v>
      </c>
      <c r="C242">
        <f>获奖信息!C240</f>
        <v>0</v>
      </c>
      <c r="D242">
        <f>获奖信息!D240</f>
        <v>0</v>
      </c>
      <c r="E242">
        <f>获奖信息!E240</f>
        <v>0</v>
      </c>
      <c r="F242">
        <f>获奖信息!F240</f>
        <v>0</v>
      </c>
      <c r="G242">
        <f>获奖信息!G240</f>
        <v>0</v>
      </c>
      <c r="H242">
        <f>获奖信息!H240</f>
        <v>0</v>
      </c>
      <c r="I242">
        <f>获奖信息!I240</f>
        <v>0</v>
      </c>
      <c r="J242">
        <f>获奖信息!J240</f>
        <v>0</v>
      </c>
      <c r="K242">
        <f>获奖信息!K240</f>
        <v>0</v>
      </c>
      <c r="L242">
        <f>获奖信息!L240</f>
        <v>0</v>
      </c>
      <c r="M242">
        <f>获奖信息!M240</f>
        <v>0</v>
      </c>
      <c r="N242">
        <f>获奖信息!N240</f>
        <v>0</v>
      </c>
      <c r="O242">
        <f>获奖信息!O240</f>
        <v>0</v>
      </c>
    </row>
    <row r="243" spans="1:15" x14ac:dyDescent="0.2">
      <c r="A243">
        <f>获奖信息!A241</f>
        <v>0</v>
      </c>
      <c r="B243">
        <f>获奖信息!B241</f>
        <v>0</v>
      </c>
      <c r="C243">
        <f>获奖信息!C241</f>
        <v>0</v>
      </c>
      <c r="D243">
        <f>获奖信息!D241</f>
        <v>0</v>
      </c>
      <c r="E243">
        <f>获奖信息!E241</f>
        <v>0</v>
      </c>
      <c r="F243">
        <f>获奖信息!F241</f>
        <v>0</v>
      </c>
      <c r="G243">
        <f>获奖信息!G241</f>
        <v>0</v>
      </c>
      <c r="H243">
        <f>获奖信息!H241</f>
        <v>0</v>
      </c>
      <c r="I243">
        <f>获奖信息!I241</f>
        <v>0</v>
      </c>
      <c r="J243">
        <f>获奖信息!J241</f>
        <v>0</v>
      </c>
      <c r="K243">
        <f>获奖信息!K241</f>
        <v>0</v>
      </c>
      <c r="L243">
        <f>获奖信息!L241</f>
        <v>0</v>
      </c>
      <c r="M243">
        <f>获奖信息!M241</f>
        <v>0</v>
      </c>
      <c r="N243">
        <f>获奖信息!N241</f>
        <v>0</v>
      </c>
      <c r="O243">
        <f>获奖信息!O241</f>
        <v>0</v>
      </c>
    </row>
    <row r="244" spans="1:15" x14ac:dyDescent="0.2">
      <c r="A244">
        <f>获奖信息!A242</f>
        <v>0</v>
      </c>
      <c r="B244">
        <f>获奖信息!B242</f>
        <v>0</v>
      </c>
      <c r="C244">
        <f>获奖信息!C242</f>
        <v>0</v>
      </c>
      <c r="D244">
        <f>获奖信息!D242</f>
        <v>0</v>
      </c>
      <c r="E244">
        <f>获奖信息!E242</f>
        <v>0</v>
      </c>
      <c r="F244">
        <f>获奖信息!F242</f>
        <v>0</v>
      </c>
      <c r="G244">
        <f>获奖信息!G242</f>
        <v>0</v>
      </c>
      <c r="H244">
        <f>获奖信息!H242</f>
        <v>0</v>
      </c>
      <c r="I244">
        <f>获奖信息!I242</f>
        <v>0</v>
      </c>
      <c r="J244">
        <f>获奖信息!J242</f>
        <v>0</v>
      </c>
      <c r="K244">
        <f>获奖信息!K242</f>
        <v>0</v>
      </c>
      <c r="L244">
        <f>获奖信息!L242</f>
        <v>0</v>
      </c>
      <c r="M244">
        <f>获奖信息!M242</f>
        <v>0</v>
      </c>
      <c r="N244">
        <f>获奖信息!N242</f>
        <v>0</v>
      </c>
      <c r="O244">
        <f>获奖信息!O242</f>
        <v>0</v>
      </c>
    </row>
    <row r="245" spans="1:15" x14ac:dyDescent="0.2">
      <c r="A245">
        <f>获奖信息!A243</f>
        <v>0</v>
      </c>
      <c r="B245">
        <f>获奖信息!B243</f>
        <v>0</v>
      </c>
      <c r="C245">
        <f>获奖信息!C243</f>
        <v>0</v>
      </c>
      <c r="D245">
        <f>获奖信息!D243</f>
        <v>0</v>
      </c>
      <c r="E245">
        <f>获奖信息!E243</f>
        <v>0</v>
      </c>
      <c r="F245">
        <f>获奖信息!F243</f>
        <v>0</v>
      </c>
      <c r="G245">
        <f>获奖信息!G243</f>
        <v>0</v>
      </c>
      <c r="H245">
        <f>获奖信息!H243</f>
        <v>0</v>
      </c>
      <c r="I245">
        <f>获奖信息!I243</f>
        <v>0</v>
      </c>
      <c r="J245">
        <f>获奖信息!J243</f>
        <v>0</v>
      </c>
      <c r="K245">
        <f>获奖信息!K243</f>
        <v>0</v>
      </c>
      <c r="L245">
        <f>获奖信息!L243</f>
        <v>0</v>
      </c>
      <c r="M245">
        <f>获奖信息!M243</f>
        <v>0</v>
      </c>
      <c r="N245">
        <f>获奖信息!N243</f>
        <v>0</v>
      </c>
      <c r="O245">
        <f>获奖信息!O243</f>
        <v>0</v>
      </c>
    </row>
    <row r="246" spans="1:15" x14ac:dyDescent="0.2">
      <c r="A246">
        <f>获奖信息!A244</f>
        <v>0</v>
      </c>
      <c r="B246">
        <f>获奖信息!B244</f>
        <v>0</v>
      </c>
      <c r="C246">
        <f>获奖信息!C244</f>
        <v>0</v>
      </c>
      <c r="D246">
        <f>获奖信息!D244</f>
        <v>0</v>
      </c>
      <c r="E246">
        <f>获奖信息!E244</f>
        <v>0</v>
      </c>
      <c r="F246">
        <f>获奖信息!F244</f>
        <v>0</v>
      </c>
      <c r="G246">
        <f>获奖信息!G244</f>
        <v>0</v>
      </c>
      <c r="H246">
        <f>获奖信息!H244</f>
        <v>0</v>
      </c>
      <c r="I246">
        <f>获奖信息!I244</f>
        <v>0</v>
      </c>
      <c r="J246">
        <f>获奖信息!J244</f>
        <v>0</v>
      </c>
      <c r="K246">
        <f>获奖信息!K244</f>
        <v>0</v>
      </c>
      <c r="L246">
        <f>获奖信息!L244</f>
        <v>0</v>
      </c>
      <c r="M246">
        <f>获奖信息!M244</f>
        <v>0</v>
      </c>
      <c r="N246">
        <f>获奖信息!N244</f>
        <v>0</v>
      </c>
      <c r="O246">
        <f>获奖信息!O244</f>
        <v>0</v>
      </c>
    </row>
    <row r="247" spans="1:15" x14ac:dyDescent="0.2">
      <c r="A247">
        <f>获奖信息!A245</f>
        <v>0</v>
      </c>
      <c r="B247">
        <f>获奖信息!B245</f>
        <v>0</v>
      </c>
      <c r="C247">
        <f>获奖信息!C245</f>
        <v>0</v>
      </c>
      <c r="D247">
        <f>获奖信息!D245</f>
        <v>0</v>
      </c>
      <c r="E247">
        <f>获奖信息!E245</f>
        <v>0</v>
      </c>
      <c r="F247">
        <f>获奖信息!F245</f>
        <v>0</v>
      </c>
      <c r="G247">
        <f>获奖信息!G245</f>
        <v>0</v>
      </c>
      <c r="H247">
        <f>获奖信息!H245</f>
        <v>0</v>
      </c>
      <c r="I247">
        <f>获奖信息!I245</f>
        <v>0</v>
      </c>
      <c r="J247">
        <f>获奖信息!J245</f>
        <v>0</v>
      </c>
      <c r="K247">
        <f>获奖信息!K245</f>
        <v>0</v>
      </c>
      <c r="L247">
        <f>获奖信息!L245</f>
        <v>0</v>
      </c>
      <c r="M247">
        <f>获奖信息!M245</f>
        <v>0</v>
      </c>
      <c r="N247">
        <f>获奖信息!N245</f>
        <v>0</v>
      </c>
      <c r="O247">
        <f>获奖信息!O245</f>
        <v>0</v>
      </c>
    </row>
    <row r="248" spans="1:15" x14ac:dyDescent="0.2">
      <c r="A248">
        <f>获奖信息!A246</f>
        <v>0</v>
      </c>
      <c r="B248">
        <f>获奖信息!B246</f>
        <v>0</v>
      </c>
      <c r="C248">
        <f>获奖信息!C246</f>
        <v>0</v>
      </c>
      <c r="D248">
        <f>获奖信息!D246</f>
        <v>0</v>
      </c>
      <c r="E248">
        <f>获奖信息!E246</f>
        <v>0</v>
      </c>
      <c r="F248">
        <f>获奖信息!F246</f>
        <v>0</v>
      </c>
      <c r="G248">
        <f>获奖信息!G246</f>
        <v>0</v>
      </c>
      <c r="H248">
        <f>获奖信息!H246</f>
        <v>0</v>
      </c>
      <c r="I248">
        <f>获奖信息!I246</f>
        <v>0</v>
      </c>
      <c r="J248">
        <f>获奖信息!J246</f>
        <v>0</v>
      </c>
      <c r="K248">
        <f>获奖信息!K246</f>
        <v>0</v>
      </c>
      <c r="L248">
        <f>获奖信息!L246</f>
        <v>0</v>
      </c>
      <c r="M248">
        <f>获奖信息!M246</f>
        <v>0</v>
      </c>
      <c r="N248">
        <f>获奖信息!N246</f>
        <v>0</v>
      </c>
      <c r="O248">
        <f>获奖信息!O246</f>
        <v>0</v>
      </c>
    </row>
    <row r="249" spans="1:15" x14ac:dyDescent="0.2">
      <c r="A249">
        <f>获奖信息!A247</f>
        <v>0</v>
      </c>
      <c r="B249">
        <f>获奖信息!B247</f>
        <v>0</v>
      </c>
      <c r="C249">
        <f>获奖信息!C247</f>
        <v>0</v>
      </c>
      <c r="D249">
        <f>获奖信息!D247</f>
        <v>0</v>
      </c>
      <c r="E249">
        <f>获奖信息!E247</f>
        <v>0</v>
      </c>
      <c r="F249">
        <f>获奖信息!F247</f>
        <v>0</v>
      </c>
      <c r="G249">
        <f>获奖信息!G247</f>
        <v>0</v>
      </c>
      <c r="H249">
        <f>获奖信息!H247</f>
        <v>0</v>
      </c>
      <c r="I249">
        <f>获奖信息!I247</f>
        <v>0</v>
      </c>
      <c r="J249">
        <f>获奖信息!J247</f>
        <v>0</v>
      </c>
      <c r="K249">
        <f>获奖信息!K247</f>
        <v>0</v>
      </c>
      <c r="L249">
        <f>获奖信息!L247</f>
        <v>0</v>
      </c>
      <c r="M249">
        <f>获奖信息!M247</f>
        <v>0</v>
      </c>
      <c r="N249">
        <f>获奖信息!N247</f>
        <v>0</v>
      </c>
      <c r="O249">
        <f>获奖信息!O247</f>
        <v>0</v>
      </c>
    </row>
    <row r="250" spans="1:15" x14ac:dyDescent="0.2">
      <c r="A250">
        <f>获奖信息!A248</f>
        <v>0</v>
      </c>
      <c r="B250">
        <f>获奖信息!B248</f>
        <v>0</v>
      </c>
      <c r="C250">
        <f>获奖信息!C248</f>
        <v>0</v>
      </c>
      <c r="D250">
        <f>获奖信息!D248</f>
        <v>0</v>
      </c>
      <c r="E250">
        <f>获奖信息!E248</f>
        <v>0</v>
      </c>
      <c r="F250">
        <f>获奖信息!F248</f>
        <v>0</v>
      </c>
      <c r="G250">
        <f>获奖信息!G248</f>
        <v>0</v>
      </c>
      <c r="H250">
        <f>获奖信息!H248</f>
        <v>0</v>
      </c>
      <c r="I250">
        <f>获奖信息!I248</f>
        <v>0</v>
      </c>
      <c r="J250">
        <f>获奖信息!J248</f>
        <v>0</v>
      </c>
      <c r="K250">
        <f>获奖信息!K248</f>
        <v>0</v>
      </c>
      <c r="L250">
        <f>获奖信息!L248</f>
        <v>0</v>
      </c>
      <c r="M250">
        <f>获奖信息!M248</f>
        <v>0</v>
      </c>
      <c r="N250">
        <f>获奖信息!N248</f>
        <v>0</v>
      </c>
      <c r="O250">
        <f>获奖信息!O248</f>
        <v>0</v>
      </c>
    </row>
    <row r="251" spans="1:15" x14ac:dyDescent="0.2">
      <c r="A251">
        <f>获奖信息!A249</f>
        <v>0</v>
      </c>
      <c r="B251">
        <f>获奖信息!B249</f>
        <v>0</v>
      </c>
      <c r="C251">
        <f>获奖信息!C249</f>
        <v>0</v>
      </c>
      <c r="D251">
        <f>获奖信息!D249</f>
        <v>0</v>
      </c>
      <c r="E251">
        <f>获奖信息!E249</f>
        <v>0</v>
      </c>
      <c r="F251">
        <f>获奖信息!F249</f>
        <v>0</v>
      </c>
      <c r="G251">
        <f>获奖信息!G249</f>
        <v>0</v>
      </c>
      <c r="H251">
        <f>获奖信息!H249</f>
        <v>0</v>
      </c>
      <c r="I251">
        <f>获奖信息!I249</f>
        <v>0</v>
      </c>
      <c r="J251">
        <f>获奖信息!J249</f>
        <v>0</v>
      </c>
      <c r="K251">
        <f>获奖信息!K249</f>
        <v>0</v>
      </c>
      <c r="L251">
        <f>获奖信息!L249</f>
        <v>0</v>
      </c>
      <c r="M251">
        <f>获奖信息!M249</f>
        <v>0</v>
      </c>
      <c r="N251">
        <f>获奖信息!N249</f>
        <v>0</v>
      </c>
      <c r="O251">
        <f>获奖信息!O249</f>
        <v>0</v>
      </c>
    </row>
    <row r="252" spans="1:15" x14ac:dyDescent="0.2">
      <c r="A252">
        <f>获奖信息!A250</f>
        <v>0</v>
      </c>
      <c r="B252">
        <f>获奖信息!B250</f>
        <v>0</v>
      </c>
      <c r="C252">
        <f>获奖信息!C250</f>
        <v>0</v>
      </c>
      <c r="D252">
        <f>获奖信息!D250</f>
        <v>0</v>
      </c>
      <c r="E252">
        <f>获奖信息!E250</f>
        <v>0</v>
      </c>
      <c r="F252">
        <f>获奖信息!F250</f>
        <v>0</v>
      </c>
      <c r="G252">
        <f>获奖信息!G250</f>
        <v>0</v>
      </c>
      <c r="H252">
        <f>获奖信息!H250</f>
        <v>0</v>
      </c>
      <c r="I252">
        <f>获奖信息!I250</f>
        <v>0</v>
      </c>
      <c r="J252">
        <f>获奖信息!J250</f>
        <v>0</v>
      </c>
      <c r="K252">
        <f>获奖信息!K250</f>
        <v>0</v>
      </c>
      <c r="L252">
        <f>获奖信息!L250</f>
        <v>0</v>
      </c>
      <c r="M252">
        <f>获奖信息!M250</f>
        <v>0</v>
      </c>
      <c r="N252">
        <f>获奖信息!N250</f>
        <v>0</v>
      </c>
      <c r="O252">
        <f>获奖信息!O250</f>
        <v>0</v>
      </c>
    </row>
    <row r="253" spans="1:15" x14ac:dyDescent="0.2">
      <c r="A253">
        <f>获奖信息!A251</f>
        <v>0</v>
      </c>
      <c r="B253">
        <f>获奖信息!B251</f>
        <v>0</v>
      </c>
      <c r="C253">
        <f>获奖信息!C251</f>
        <v>0</v>
      </c>
      <c r="D253">
        <f>获奖信息!D251</f>
        <v>0</v>
      </c>
      <c r="E253">
        <f>获奖信息!E251</f>
        <v>0</v>
      </c>
      <c r="F253">
        <f>获奖信息!F251</f>
        <v>0</v>
      </c>
      <c r="G253">
        <f>获奖信息!G251</f>
        <v>0</v>
      </c>
      <c r="H253">
        <f>获奖信息!H251</f>
        <v>0</v>
      </c>
      <c r="I253">
        <f>获奖信息!I251</f>
        <v>0</v>
      </c>
      <c r="J253">
        <f>获奖信息!J251</f>
        <v>0</v>
      </c>
      <c r="K253">
        <f>获奖信息!K251</f>
        <v>0</v>
      </c>
      <c r="L253">
        <f>获奖信息!L251</f>
        <v>0</v>
      </c>
      <c r="M253">
        <f>获奖信息!M251</f>
        <v>0</v>
      </c>
      <c r="N253">
        <f>获奖信息!N251</f>
        <v>0</v>
      </c>
      <c r="O253">
        <f>获奖信息!O251</f>
        <v>0</v>
      </c>
    </row>
    <row r="254" spans="1:15" x14ac:dyDescent="0.2">
      <c r="A254">
        <f>获奖信息!A252</f>
        <v>0</v>
      </c>
      <c r="B254">
        <f>获奖信息!B252</f>
        <v>0</v>
      </c>
      <c r="C254">
        <f>获奖信息!C252</f>
        <v>0</v>
      </c>
      <c r="D254">
        <f>获奖信息!D252</f>
        <v>0</v>
      </c>
      <c r="E254">
        <f>获奖信息!E252</f>
        <v>0</v>
      </c>
      <c r="F254">
        <f>获奖信息!F252</f>
        <v>0</v>
      </c>
      <c r="G254">
        <f>获奖信息!G252</f>
        <v>0</v>
      </c>
      <c r="H254">
        <f>获奖信息!H252</f>
        <v>0</v>
      </c>
      <c r="I254">
        <f>获奖信息!I252</f>
        <v>0</v>
      </c>
      <c r="J254">
        <f>获奖信息!J252</f>
        <v>0</v>
      </c>
      <c r="K254">
        <f>获奖信息!K252</f>
        <v>0</v>
      </c>
      <c r="L254">
        <f>获奖信息!L252</f>
        <v>0</v>
      </c>
      <c r="M254">
        <f>获奖信息!M252</f>
        <v>0</v>
      </c>
      <c r="N254">
        <f>获奖信息!N252</f>
        <v>0</v>
      </c>
      <c r="O254">
        <f>获奖信息!O252</f>
        <v>0</v>
      </c>
    </row>
    <row r="255" spans="1:15" x14ac:dyDescent="0.2">
      <c r="A255">
        <f>获奖信息!A253</f>
        <v>0</v>
      </c>
      <c r="B255">
        <f>获奖信息!B253</f>
        <v>0</v>
      </c>
      <c r="C255">
        <f>获奖信息!C253</f>
        <v>0</v>
      </c>
      <c r="D255">
        <f>获奖信息!D253</f>
        <v>0</v>
      </c>
      <c r="E255">
        <f>获奖信息!E253</f>
        <v>0</v>
      </c>
      <c r="F255">
        <f>获奖信息!F253</f>
        <v>0</v>
      </c>
      <c r="G255">
        <f>获奖信息!G253</f>
        <v>0</v>
      </c>
      <c r="H255">
        <f>获奖信息!H253</f>
        <v>0</v>
      </c>
      <c r="I255">
        <f>获奖信息!I253</f>
        <v>0</v>
      </c>
      <c r="J255">
        <f>获奖信息!J253</f>
        <v>0</v>
      </c>
      <c r="K255">
        <f>获奖信息!K253</f>
        <v>0</v>
      </c>
      <c r="L255">
        <f>获奖信息!L253</f>
        <v>0</v>
      </c>
      <c r="M255">
        <f>获奖信息!M253</f>
        <v>0</v>
      </c>
      <c r="N255">
        <f>获奖信息!N253</f>
        <v>0</v>
      </c>
      <c r="O255">
        <f>获奖信息!O253</f>
        <v>0</v>
      </c>
    </row>
    <row r="256" spans="1:15" x14ac:dyDescent="0.2">
      <c r="A256">
        <f>获奖信息!A254</f>
        <v>0</v>
      </c>
      <c r="B256">
        <f>获奖信息!B254</f>
        <v>0</v>
      </c>
      <c r="C256">
        <f>获奖信息!C254</f>
        <v>0</v>
      </c>
      <c r="D256">
        <f>获奖信息!D254</f>
        <v>0</v>
      </c>
      <c r="E256">
        <f>获奖信息!E254</f>
        <v>0</v>
      </c>
      <c r="F256">
        <f>获奖信息!F254</f>
        <v>0</v>
      </c>
      <c r="G256">
        <f>获奖信息!G254</f>
        <v>0</v>
      </c>
      <c r="H256">
        <f>获奖信息!H254</f>
        <v>0</v>
      </c>
      <c r="I256">
        <f>获奖信息!I254</f>
        <v>0</v>
      </c>
      <c r="J256">
        <f>获奖信息!J254</f>
        <v>0</v>
      </c>
      <c r="K256">
        <f>获奖信息!K254</f>
        <v>0</v>
      </c>
      <c r="L256">
        <f>获奖信息!L254</f>
        <v>0</v>
      </c>
      <c r="M256">
        <f>获奖信息!M254</f>
        <v>0</v>
      </c>
      <c r="N256">
        <f>获奖信息!N254</f>
        <v>0</v>
      </c>
      <c r="O256">
        <f>获奖信息!O254</f>
        <v>0</v>
      </c>
    </row>
    <row r="257" spans="1:15" x14ac:dyDescent="0.2">
      <c r="A257">
        <f>获奖信息!A255</f>
        <v>0</v>
      </c>
      <c r="B257">
        <f>获奖信息!B255</f>
        <v>0</v>
      </c>
      <c r="C257">
        <f>获奖信息!C255</f>
        <v>0</v>
      </c>
      <c r="D257">
        <f>获奖信息!D255</f>
        <v>0</v>
      </c>
      <c r="E257">
        <f>获奖信息!E255</f>
        <v>0</v>
      </c>
      <c r="F257">
        <f>获奖信息!F255</f>
        <v>0</v>
      </c>
      <c r="G257">
        <f>获奖信息!G255</f>
        <v>0</v>
      </c>
      <c r="H257">
        <f>获奖信息!H255</f>
        <v>0</v>
      </c>
      <c r="I257">
        <f>获奖信息!I255</f>
        <v>0</v>
      </c>
      <c r="J257">
        <f>获奖信息!J255</f>
        <v>0</v>
      </c>
      <c r="K257">
        <f>获奖信息!K255</f>
        <v>0</v>
      </c>
      <c r="L257">
        <f>获奖信息!L255</f>
        <v>0</v>
      </c>
      <c r="M257">
        <f>获奖信息!M255</f>
        <v>0</v>
      </c>
      <c r="N257">
        <f>获奖信息!N255</f>
        <v>0</v>
      </c>
      <c r="O257">
        <f>获奖信息!O255</f>
        <v>0</v>
      </c>
    </row>
    <row r="258" spans="1:15" x14ac:dyDescent="0.2">
      <c r="A258">
        <f>获奖信息!A256</f>
        <v>0</v>
      </c>
      <c r="B258">
        <f>获奖信息!B256</f>
        <v>0</v>
      </c>
      <c r="C258">
        <f>获奖信息!C256</f>
        <v>0</v>
      </c>
      <c r="D258">
        <f>获奖信息!D256</f>
        <v>0</v>
      </c>
      <c r="E258">
        <f>获奖信息!E256</f>
        <v>0</v>
      </c>
      <c r="F258">
        <f>获奖信息!F256</f>
        <v>0</v>
      </c>
      <c r="G258">
        <f>获奖信息!G256</f>
        <v>0</v>
      </c>
      <c r="H258">
        <f>获奖信息!H256</f>
        <v>0</v>
      </c>
      <c r="I258">
        <f>获奖信息!I256</f>
        <v>0</v>
      </c>
      <c r="J258">
        <f>获奖信息!J256</f>
        <v>0</v>
      </c>
      <c r="K258">
        <f>获奖信息!K256</f>
        <v>0</v>
      </c>
      <c r="L258">
        <f>获奖信息!L256</f>
        <v>0</v>
      </c>
      <c r="M258">
        <f>获奖信息!M256</f>
        <v>0</v>
      </c>
      <c r="N258">
        <f>获奖信息!N256</f>
        <v>0</v>
      </c>
      <c r="O258">
        <f>获奖信息!O256</f>
        <v>0</v>
      </c>
    </row>
    <row r="259" spans="1:15" x14ac:dyDescent="0.2">
      <c r="A259">
        <f>获奖信息!A257</f>
        <v>0</v>
      </c>
      <c r="B259">
        <f>获奖信息!B257</f>
        <v>0</v>
      </c>
      <c r="C259">
        <f>获奖信息!C257</f>
        <v>0</v>
      </c>
      <c r="D259">
        <f>获奖信息!D257</f>
        <v>0</v>
      </c>
      <c r="E259">
        <f>获奖信息!E257</f>
        <v>0</v>
      </c>
      <c r="F259">
        <f>获奖信息!F257</f>
        <v>0</v>
      </c>
      <c r="G259">
        <f>获奖信息!G257</f>
        <v>0</v>
      </c>
      <c r="H259">
        <f>获奖信息!H257</f>
        <v>0</v>
      </c>
      <c r="I259">
        <f>获奖信息!I257</f>
        <v>0</v>
      </c>
      <c r="J259">
        <f>获奖信息!J257</f>
        <v>0</v>
      </c>
      <c r="K259">
        <f>获奖信息!K257</f>
        <v>0</v>
      </c>
      <c r="L259">
        <f>获奖信息!L257</f>
        <v>0</v>
      </c>
      <c r="M259">
        <f>获奖信息!M257</f>
        <v>0</v>
      </c>
      <c r="N259">
        <f>获奖信息!N257</f>
        <v>0</v>
      </c>
      <c r="O259">
        <f>获奖信息!O257</f>
        <v>0</v>
      </c>
    </row>
    <row r="260" spans="1:15" x14ac:dyDescent="0.2">
      <c r="A260">
        <f>获奖信息!A258</f>
        <v>0</v>
      </c>
      <c r="B260">
        <f>获奖信息!B258</f>
        <v>0</v>
      </c>
      <c r="C260">
        <f>获奖信息!C258</f>
        <v>0</v>
      </c>
      <c r="D260">
        <f>获奖信息!D258</f>
        <v>0</v>
      </c>
      <c r="E260">
        <f>获奖信息!E258</f>
        <v>0</v>
      </c>
      <c r="F260">
        <f>获奖信息!F258</f>
        <v>0</v>
      </c>
      <c r="G260">
        <f>获奖信息!G258</f>
        <v>0</v>
      </c>
      <c r="H260">
        <f>获奖信息!H258</f>
        <v>0</v>
      </c>
      <c r="I260">
        <f>获奖信息!I258</f>
        <v>0</v>
      </c>
      <c r="J260">
        <f>获奖信息!J258</f>
        <v>0</v>
      </c>
      <c r="K260">
        <f>获奖信息!K258</f>
        <v>0</v>
      </c>
      <c r="L260">
        <f>获奖信息!L258</f>
        <v>0</v>
      </c>
      <c r="M260">
        <f>获奖信息!M258</f>
        <v>0</v>
      </c>
      <c r="N260">
        <f>获奖信息!N258</f>
        <v>0</v>
      </c>
      <c r="O260">
        <f>获奖信息!O258</f>
        <v>0</v>
      </c>
    </row>
    <row r="261" spans="1:15" x14ac:dyDescent="0.2">
      <c r="A261">
        <f>获奖信息!A259</f>
        <v>0</v>
      </c>
      <c r="B261">
        <f>获奖信息!B259</f>
        <v>0</v>
      </c>
      <c r="C261">
        <f>获奖信息!C259</f>
        <v>0</v>
      </c>
      <c r="D261">
        <f>获奖信息!D259</f>
        <v>0</v>
      </c>
      <c r="E261">
        <f>获奖信息!E259</f>
        <v>0</v>
      </c>
      <c r="F261">
        <f>获奖信息!F259</f>
        <v>0</v>
      </c>
      <c r="G261">
        <f>获奖信息!G259</f>
        <v>0</v>
      </c>
      <c r="H261">
        <f>获奖信息!H259</f>
        <v>0</v>
      </c>
      <c r="I261">
        <f>获奖信息!I259</f>
        <v>0</v>
      </c>
      <c r="J261">
        <f>获奖信息!J259</f>
        <v>0</v>
      </c>
      <c r="K261">
        <f>获奖信息!K259</f>
        <v>0</v>
      </c>
      <c r="L261">
        <f>获奖信息!L259</f>
        <v>0</v>
      </c>
      <c r="M261">
        <f>获奖信息!M259</f>
        <v>0</v>
      </c>
      <c r="N261">
        <f>获奖信息!N259</f>
        <v>0</v>
      </c>
      <c r="O261">
        <f>获奖信息!O259</f>
        <v>0</v>
      </c>
    </row>
    <row r="262" spans="1:15" x14ac:dyDescent="0.2">
      <c r="A262">
        <f>获奖信息!A260</f>
        <v>0</v>
      </c>
      <c r="B262">
        <f>获奖信息!B260</f>
        <v>0</v>
      </c>
      <c r="C262">
        <f>获奖信息!C260</f>
        <v>0</v>
      </c>
      <c r="D262">
        <f>获奖信息!D260</f>
        <v>0</v>
      </c>
      <c r="E262">
        <f>获奖信息!E260</f>
        <v>0</v>
      </c>
      <c r="F262">
        <f>获奖信息!F260</f>
        <v>0</v>
      </c>
      <c r="G262">
        <f>获奖信息!G260</f>
        <v>0</v>
      </c>
      <c r="H262">
        <f>获奖信息!H260</f>
        <v>0</v>
      </c>
      <c r="I262">
        <f>获奖信息!I260</f>
        <v>0</v>
      </c>
      <c r="J262">
        <f>获奖信息!J260</f>
        <v>0</v>
      </c>
      <c r="K262">
        <f>获奖信息!K260</f>
        <v>0</v>
      </c>
      <c r="L262">
        <f>获奖信息!L260</f>
        <v>0</v>
      </c>
      <c r="M262">
        <f>获奖信息!M260</f>
        <v>0</v>
      </c>
      <c r="N262">
        <f>获奖信息!N260</f>
        <v>0</v>
      </c>
      <c r="O262">
        <f>获奖信息!O260</f>
        <v>0</v>
      </c>
    </row>
    <row r="263" spans="1:15" x14ac:dyDescent="0.2">
      <c r="A263">
        <f>获奖信息!A261</f>
        <v>0</v>
      </c>
      <c r="B263">
        <f>获奖信息!B261</f>
        <v>0</v>
      </c>
      <c r="C263">
        <f>获奖信息!C261</f>
        <v>0</v>
      </c>
      <c r="D263">
        <f>获奖信息!D261</f>
        <v>0</v>
      </c>
      <c r="E263">
        <f>获奖信息!E261</f>
        <v>0</v>
      </c>
      <c r="F263">
        <f>获奖信息!F261</f>
        <v>0</v>
      </c>
      <c r="G263">
        <f>获奖信息!G261</f>
        <v>0</v>
      </c>
      <c r="H263">
        <f>获奖信息!H261</f>
        <v>0</v>
      </c>
      <c r="I263">
        <f>获奖信息!I261</f>
        <v>0</v>
      </c>
      <c r="J263">
        <f>获奖信息!J261</f>
        <v>0</v>
      </c>
      <c r="K263">
        <f>获奖信息!K261</f>
        <v>0</v>
      </c>
      <c r="L263">
        <f>获奖信息!L261</f>
        <v>0</v>
      </c>
      <c r="M263">
        <f>获奖信息!M261</f>
        <v>0</v>
      </c>
      <c r="N263">
        <f>获奖信息!N261</f>
        <v>0</v>
      </c>
      <c r="O263">
        <f>获奖信息!O261</f>
        <v>0</v>
      </c>
    </row>
    <row r="264" spans="1:15" x14ac:dyDescent="0.2">
      <c r="A264">
        <f>获奖信息!A262</f>
        <v>0</v>
      </c>
      <c r="B264">
        <f>获奖信息!B262</f>
        <v>0</v>
      </c>
      <c r="C264">
        <f>获奖信息!C262</f>
        <v>0</v>
      </c>
      <c r="D264">
        <f>获奖信息!D262</f>
        <v>0</v>
      </c>
      <c r="E264">
        <f>获奖信息!E262</f>
        <v>0</v>
      </c>
      <c r="F264">
        <f>获奖信息!F262</f>
        <v>0</v>
      </c>
      <c r="G264">
        <f>获奖信息!G262</f>
        <v>0</v>
      </c>
      <c r="H264">
        <f>获奖信息!H262</f>
        <v>0</v>
      </c>
      <c r="I264">
        <f>获奖信息!I262</f>
        <v>0</v>
      </c>
      <c r="J264">
        <f>获奖信息!J262</f>
        <v>0</v>
      </c>
      <c r="K264">
        <f>获奖信息!K262</f>
        <v>0</v>
      </c>
      <c r="L264">
        <f>获奖信息!L262</f>
        <v>0</v>
      </c>
      <c r="M264">
        <f>获奖信息!M262</f>
        <v>0</v>
      </c>
      <c r="N264">
        <f>获奖信息!N262</f>
        <v>0</v>
      </c>
      <c r="O264">
        <f>获奖信息!O262</f>
        <v>0</v>
      </c>
    </row>
    <row r="265" spans="1:15" x14ac:dyDescent="0.2">
      <c r="A265">
        <f>获奖信息!A263</f>
        <v>0</v>
      </c>
      <c r="B265">
        <f>获奖信息!B263</f>
        <v>0</v>
      </c>
      <c r="C265">
        <f>获奖信息!C263</f>
        <v>0</v>
      </c>
      <c r="D265">
        <f>获奖信息!D263</f>
        <v>0</v>
      </c>
      <c r="E265">
        <f>获奖信息!E263</f>
        <v>0</v>
      </c>
      <c r="F265">
        <f>获奖信息!F263</f>
        <v>0</v>
      </c>
      <c r="G265">
        <f>获奖信息!G263</f>
        <v>0</v>
      </c>
      <c r="H265">
        <f>获奖信息!H263</f>
        <v>0</v>
      </c>
      <c r="I265">
        <f>获奖信息!I263</f>
        <v>0</v>
      </c>
      <c r="J265">
        <f>获奖信息!J263</f>
        <v>0</v>
      </c>
      <c r="K265">
        <f>获奖信息!K263</f>
        <v>0</v>
      </c>
      <c r="L265">
        <f>获奖信息!L263</f>
        <v>0</v>
      </c>
      <c r="M265">
        <f>获奖信息!M263</f>
        <v>0</v>
      </c>
      <c r="N265">
        <f>获奖信息!N263</f>
        <v>0</v>
      </c>
      <c r="O265">
        <f>获奖信息!O263</f>
        <v>0</v>
      </c>
    </row>
    <row r="266" spans="1:15" x14ac:dyDescent="0.2">
      <c r="A266">
        <f>获奖信息!A264</f>
        <v>0</v>
      </c>
      <c r="B266">
        <f>获奖信息!B264</f>
        <v>0</v>
      </c>
      <c r="C266">
        <f>获奖信息!C264</f>
        <v>0</v>
      </c>
      <c r="D266">
        <f>获奖信息!D264</f>
        <v>0</v>
      </c>
      <c r="E266">
        <f>获奖信息!E264</f>
        <v>0</v>
      </c>
      <c r="F266">
        <f>获奖信息!F264</f>
        <v>0</v>
      </c>
      <c r="G266">
        <f>获奖信息!G264</f>
        <v>0</v>
      </c>
      <c r="H266">
        <f>获奖信息!H264</f>
        <v>0</v>
      </c>
      <c r="I266">
        <f>获奖信息!I264</f>
        <v>0</v>
      </c>
      <c r="J266">
        <f>获奖信息!J264</f>
        <v>0</v>
      </c>
      <c r="K266">
        <f>获奖信息!K264</f>
        <v>0</v>
      </c>
      <c r="L266">
        <f>获奖信息!L264</f>
        <v>0</v>
      </c>
      <c r="M266">
        <f>获奖信息!M264</f>
        <v>0</v>
      </c>
      <c r="N266">
        <f>获奖信息!N264</f>
        <v>0</v>
      </c>
      <c r="O266">
        <f>获奖信息!O264</f>
        <v>0</v>
      </c>
    </row>
    <row r="267" spans="1:15" x14ac:dyDescent="0.2">
      <c r="A267">
        <f>获奖信息!A265</f>
        <v>0</v>
      </c>
      <c r="B267">
        <f>获奖信息!B265</f>
        <v>0</v>
      </c>
      <c r="C267">
        <f>获奖信息!C265</f>
        <v>0</v>
      </c>
      <c r="D267">
        <f>获奖信息!D265</f>
        <v>0</v>
      </c>
      <c r="E267">
        <f>获奖信息!E265</f>
        <v>0</v>
      </c>
      <c r="F267">
        <f>获奖信息!F265</f>
        <v>0</v>
      </c>
      <c r="G267">
        <f>获奖信息!G265</f>
        <v>0</v>
      </c>
      <c r="H267">
        <f>获奖信息!H265</f>
        <v>0</v>
      </c>
      <c r="I267">
        <f>获奖信息!I265</f>
        <v>0</v>
      </c>
      <c r="J267">
        <f>获奖信息!J265</f>
        <v>0</v>
      </c>
      <c r="K267">
        <f>获奖信息!K265</f>
        <v>0</v>
      </c>
      <c r="L267">
        <f>获奖信息!L265</f>
        <v>0</v>
      </c>
      <c r="M267">
        <f>获奖信息!M265</f>
        <v>0</v>
      </c>
      <c r="N267">
        <f>获奖信息!N265</f>
        <v>0</v>
      </c>
      <c r="O267">
        <f>获奖信息!O265</f>
        <v>0</v>
      </c>
    </row>
    <row r="268" spans="1:15" x14ac:dyDescent="0.2">
      <c r="A268">
        <f>获奖信息!A266</f>
        <v>0</v>
      </c>
      <c r="B268">
        <f>获奖信息!B266</f>
        <v>0</v>
      </c>
      <c r="C268">
        <f>获奖信息!C266</f>
        <v>0</v>
      </c>
      <c r="D268">
        <f>获奖信息!D266</f>
        <v>0</v>
      </c>
      <c r="E268">
        <f>获奖信息!E266</f>
        <v>0</v>
      </c>
      <c r="F268">
        <f>获奖信息!F266</f>
        <v>0</v>
      </c>
      <c r="G268">
        <f>获奖信息!G266</f>
        <v>0</v>
      </c>
      <c r="H268">
        <f>获奖信息!H266</f>
        <v>0</v>
      </c>
      <c r="I268">
        <f>获奖信息!I266</f>
        <v>0</v>
      </c>
      <c r="J268">
        <f>获奖信息!J266</f>
        <v>0</v>
      </c>
      <c r="K268">
        <f>获奖信息!K266</f>
        <v>0</v>
      </c>
      <c r="L268">
        <f>获奖信息!L266</f>
        <v>0</v>
      </c>
      <c r="M268">
        <f>获奖信息!M266</f>
        <v>0</v>
      </c>
      <c r="N268">
        <f>获奖信息!N266</f>
        <v>0</v>
      </c>
      <c r="O268">
        <f>获奖信息!O266</f>
        <v>0</v>
      </c>
    </row>
    <row r="269" spans="1:15" x14ac:dyDescent="0.2">
      <c r="A269">
        <f>获奖信息!A267</f>
        <v>0</v>
      </c>
      <c r="B269">
        <f>获奖信息!B267</f>
        <v>0</v>
      </c>
      <c r="C269">
        <f>获奖信息!C267</f>
        <v>0</v>
      </c>
      <c r="D269">
        <f>获奖信息!D267</f>
        <v>0</v>
      </c>
      <c r="E269">
        <f>获奖信息!E267</f>
        <v>0</v>
      </c>
      <c r="F269">
        <f>获奖信息!F267</f>
        <v>0</v>
      </c>
      <c r="G269">
        <f>获奖信息!G267</f>
        <v>0</v>
      </c>
      <c r="H269">
        <f>获奖信息!H267</f>
        <v>0</v>
      </c>
      <c r="I269">
        <f>获奖信息!I267</f>
        <v>0</v>
      </c>
      <c r="J269">
        <f>获奖信息!J267</f>
        <v>0</v>
      </c>
      <c r="K269">
        <f>获奖信息!K267</f>
        <v>0</v>
      </c>
      <c r="L269">
        <f>获奖信息!L267</f>
        <v>0</v>
      </c>
      <c r="M269">
        <f>获奖信息!M267</f>
        <v>0</v>
      </c>
      <c r="N269">
        <f>获奖信息!N267</f>
        <v>0</v>
      </c>
      <c r="O269">
        <f>获奖信息!O267</f>
        <v>0</v>
      </c>
    </row>
    <row r="270" spans="1:15" x14ac:dyDescent="0.2">
      <c r="A270">
        <f>获奖信息!A268</f>
        <v>0</v>
      </c>
      <c r="B270">
        <f>获奖信息!B268</f>
        <v>0</v>
      </c>
      <c r="C270">
        <f>获奖信息!C268</f>
        <v>0</v>
      </c>
      <c r="D270">
        <f>获奖信息!D268</f>
        <v>0</v>
      </c>
      <c r="E270">
        <f>获奖信息!E268</f>
        <v>0</v>
      </c>
      <c r="F270">
        <f>获奖信息!F268</f>
        <v>0</v>
      </c>
      <c r="G270">
        <f>获奖信息!G268</f>
        <v>0</v>
      </c>
      <c r="H270">
        <f>获奖信息!H268</f>
        <v>0</v>
      </c>
      <c r="I270">
        <f>获奖信息!I268</f>
        <v>0</v>
      </c>
      <c r="J270">
        <f>获奖信息!J268</f>
        <v>0</v>
      </c>
      <c r="K270">
        <f>获奖信息!K268</f>
        <v>0</v>
      </c>
      <c r="L270">
        <f>获奖信息!L268</f>
        <v>0</v>
      </c>
      <c r="M270">
        <f>获奖信息!M268</f>
        <v>0</v>
      </c>
      <c r="N270">
        <f>获奖信息!N268</f>
        <v>0</v>
      </c>
      <c r="O270">
        <f>获奖信息!O268</f>
        <v>0</v>
      </c>
    </row>
    <row r="271" spans="1:15" x14ac:dyDescent="0.2">
      <c r="A271">
        <f>获奖信息!A269</f>
        <v>0</v>
      </c>
      <c r="B271">
        <f>获奖信息!B269</f>
        <v>0</v>
      </c>
      <c r="C271">
        <f>获奖信息!C269</f>
        <v>0</v>
      </c>
      <c r="D271">
        <f>获奖信息!D269</f>
        <v>0</v>
      </c>
      <c r="E271">
        <f>获奖信息!E269</f>
        <v>0</v>
      </c>
      <c r="F271">
        <f>获奖信息!F269</f>
        <v>0</v>
      </c>
      <c r="G271">
        <f>获奖信息!G269</f>
        <v>0</v>
      </c>
      <c r="H271">
        <f>获奖信息!H269</f>
        <v>0</v>
      </c>
      <c r="I271">
        <f>获奖信息!I269</f>
        <v>0</v>
      </c>
      <c r="J271">
        <f>获奖信息!J269</f>
        <v>0</v>
      </c>
      <c r="K271">
        <f>获奖信息!K269</f>
        <v>0</v>
      </c>
      <c r="L271">
        <f>获奖信息!L269</f>
        <v>0</v>
      </c>
      <c r="M271">
        <f>获奖信息!M269</f>
        <v>0</v>
      </c>
      <c r="N271">
        <f>获奖信息!N269</f>
        <v>0</v>
      </c>
      <c r="O271">
        <f>获奖信息!O269</f>
        <v>0</v>
      </c>
    </row>
    <row r="272" spans="1:15" x14ac:dyDescent="0.2">
      <c r="A272">
        <f>获奖信息!A270</f>
        <v>0</v>
      </c>
      <c r="B272">
        <f>获奖信息!B270</f>
        <v>0</v>
      </c>
      <c r="C272">
        <f>获奖信息!C270</f>
        <v>0</v>
      </c>
      <c r="D272">
        <f>获奖信息!D270</f>
        <v>0</v>
      </c>
      <c r="E272">
        <f>获奖信息!E270</f>
        <v>0</v>
      </c>
      <c r="F272">
        <f>获奖信息!F270</f>
        <v>0</v>
      </c>
      <c r="G272">
        <f>获奖信息!G270</f>
        <v>0</v>
      </c>
      <c r="H272">
        <f>获奖信息!H270</f>
        <v>0</v>
      </c>
      <c r="I272">
        <f>获奖信息!I270</f>
        <v>0</v>
      </c>
      <c r="J272">
        <f>获奖信息!J270</f>
        <v>0</v>
      </c>
      <c r="K272">
        <f>获奖信息!K270</f>
        <v>0</v>
      </c>
      <c r="L272">
        <f>获奖信息!L270</f>
        <v>0</v>
      </c>
      <c r="M272">
        <f>获奖信息!M270</f>
        <v>0</v>
      </c>
      <c r="N272">
        <f>获奖信息!N270</f>
        <v>0</v>
      </c>
      <c r="O272">
        <f>获奖信息!O270</f>
        <v>0</v>
      </c>
    </row>
    <row r="273" spans="1:15" x14ac:dyDescent="0.2">
      <c r="A273">
        <f>获奖信息!A271</f>
        <v>0</v>
      </c>
      <c r="B273">
        <f>获奖信息!B271</f>
        <v>0</v>
      </c>
      <c r="C273">
        <f>获奖信息!C271</f>
        <v>0</v>
      </c>
      <c r="D273">
        <f>获奖信息!D271</f>
        <v>0</v>
      </c>
      <c r="E273">
        <f>获奖信息!E271</f>
        <v>0</v>
      </c>
      <c r="F273">
        <f>获奖信息!F271</f>
        <v>0</v>
      </c>
      <c r="G273">
        <f>获奖信息!G271</f>
        <v>0</v>
      </c>
      <c r="H273">
        <f>获奖信息!H271</f>
        <v>0</v>
      </c>
      <c r="I273">
        <f>获奖信息!I271</f>
        <v>0</v>
      </c>
      <c r="J273">
        <f>获奖信息!J271</f>
        <v>0</v>
      </c>
      <c r="K273">
        <f>获奖信息!K271</f>
        <v>0</v>
      </c>
      <c r="L273">
        <f>获奖信息!L271</f>
        <v>0</v>
      </c>
      <c r="M273">
        <f>获奖信息!M271</f>
        <v>0</v>
      </c>
      <c r="N273">
        <f>获奖信息!N271</f>
        <v>0</v>
      </c>
      <c r="O273">
        <f>获奖信息!O271</f>
        <v>0</v>
      </c>
    </row>
    <row r="274" spans="1:15" x14ac:dyDescent="0.2">
      <c r="A274">
        <f>获奖信息!A272</f>
        <v>0</v>
      </c>
      <c r="B274">
        <f>获奖信息!B272</f>
        <v>0</v>
      </c>
      <c r="C274">
        <f>获奖信息!C272</f>
        <v>0</v>
      </c>
      <c r="D274">
        <f>获奖信息!D272</f>
        <v>0</v>
      </c>
      <c r="E274">
        <f>获奖信息!E272</f>
        <v>0</v>
      </c>
      <c r="F274">
        <f>获奖信息!F272</f>
        <v>0</v>
      </c>
      <c r="G274">
        <f>获奖信息!G272</f>
        <v>0</v>
      </c>
      <c r="H274">
        <f>获奖信息!H272</f>
        <v>0</v>
      </c>
      <c r="I274">
        <f>获奖信息!I272</f>
        <v>0</v>
      </c>
      <c r="J274">
        <f>获奖信息!J272</f>
        <v>0</v>
      </c>
      <c r="K274">
        <f>获奖信息!K272</f>
        <v>0</v>
      </c>
      <c r="L274">
        <f>获奖信息!L272</f>
        <v>0</v>
      </c>
      <c r="M274">
        <f>获奖信息!M272</f>
        <v>0</v>
      </c>
      <c r="N274">
        <f>获奖信息!N272</f>
        <v>0</v>
      </c>
      <c r="O274">
        <f>获奖信息!O272</f>
        <v>0</v>
      </c>
    </row>
    <row r="275" spans="1:15" x14ac:dyDescent="0.2">
      <c r="A275">
        <f>获奖信息!A273</f>
        <v>0</v>
      </c>
      <c r="B275">
        <f>获奖信息!B273</f>
        <v>0</v>
      </c>
      <c r="C275">
        <f>获奖信息!C273</f>
        <v>0</v>
      </c>
      <c r="D275">
        <f>获奖信息!D273</f>
        <v>0</v>
      </c>
      <c r="E275">
        <f>获奖信息!E273</f>
        <v>0</v>
      </c>
      <c r="F275">
        <f>获奖信息!F273</f>
        <v>0</v>
      </c>
      <c r="G275">
        <f>获奖信息!G273</f>
        <v>0</v>
      </c>
      <c r="H275">
        <f>获奖信息!H273</f>
        <v>0</v>
      </c>
      <c r="I275">
        <f>获奖信息!I273</f>
        <v>0</v>
      </c>
      <c r="J275">
        <f>获奖信息!J273</f>
        <v>0</v>
      </c>
      <c r="K275">
        <f>获奖信息!K273</f>
        <v>0</v>
      </c>
      <c r="L275">
        <f>获奖信息!L273</f>
        <v>0</v>
      </c>
      <c r="M275">
        <f>获奖信息!M273</f>
        <v>0</v>
      </c>
      <c r="N275">
        <f>获奖信息!N273</f>
        <v>0</v>
      </c>
      <c r="O275">
        <f>获奖信息!O273</f>
        <v>0</v>
      </c>
    </row>
    <row r="276" spans="1:15" x14ac:dyDescent="0.2">
      <c r="A276">
        <f>获奖信息!A274</f>
        <v>0</v>
      </c>
      <c r="B276">
        <f>获奖信息!B274</f>
        <v>0</v>
      </c>
      <c r="C276">
        <f>获奖信息!C274</f>
        <v>0</v>
      </c>
      <c r="D276">
        <f>获奖信息!D274</f>
        <v>0</v>
      </c>
      <c r="E276">
        <f>获奖信息!E274</f>
        <v>0</v>
      </c>
      <c r="F276">
        <f>获奖信息!F274</f>
        <v>0</v>
      </c>
      <c r="G276">
        <f>获奖信息!G274</f>
        <v>0</v>
      </c>
      <c r="H276">
        <f>获奖信息!H274</f>
        <v>0</v>
      </c>
      <c r="I276">
        <f>获奖信息!I274</f>
        <v>0</v>
      </c>
      <c r="J276">
        <f>获奖信息!J274</f>
        <v>0</v>
      </c>
      <c r="K276">
        <f>获奖信息!K274</f>
        <v>0</v>
      </c>
      <c r="L276">
        <f>获奖信息!L274</f>
        <v>0</v>
      </c>
      <c r="M276">
        <f>获奖信息!M274</f>
        <v>0</v>
      </c>
      <c r="N276">
        <f>获奖信息!N274</f>
        <v>0</v>
      </c>
      <c r="O276">
        <f>获奖信息!O274</f>
        <v>0</v>
      </c>
    </row>
    <row r="277" spans="1:15" x14ac:dyDescent="0.2">
      <c r="A277">
        <f>获奖信息!A275</f>
        <v>0</v>
      </c>
      <c r="B277">
        <f>获奖信息!B275</f>
        <v>0</v>
      </c>
      <c r="C277">
        <f>获奖信息!C275</f>
        <v>0</v>
      </c>
      <c r="D277">
        <f>获奖信息!D275</f>
        <v>0</v>
      </c>
      <c r="E277">
        <f>获奖信息!E275</f>
        <v>0</v>
      </c>
      <c r="F277">
        <f>获奖信息!F275</f>
        <v>0</v>
      </c>
      <c r="G277">
        <f>获奖信息!G275</f>
        <v>0</v>
      </c>
      <c r="H277">
        <f>获奖信息!H275</f>
        <v>0</v>
      </c>
      <c r="I277">
        <f>获奖信息!I275</f>
        <v>0</v>
      </c>
      <c r="J277">
        <f>获奖信息!J275</f>
        <v>0</v>
      </c>
      <c r="K277">
        <f>获奖信息!K275</f>
        <v>0</v>
      </c>
      <c r="L277">
        <f>获奖信息!L275</f>
        <v>0</v>
      </c>
      <c r="M277">
        <f>获奖信息!M275</f>
        <v>0</v>
      </c>
      <c r="N277">
        <f>获奖信息!N275</f>
        <v>0</v>
      </c>
      <c r="O277">
        <f>获奖信息!O275</f>
        <v>0</v>
      </c>
    </row>
    <row r="278" spans="1:15" x14ac:dyDescent="0.2">
      <c r="A278">
        <f>获奖信息!A276</f>
        <v>0</v>
      </c>
      <c r="B278">
        <f>获奖信息!B276</f>
        <v>0</v>
      </c>
      <c r="C278">
        <f>获奖信息!C276</f>
        <v>0</v>
      </c>
      <c r="D278">
        <f>获奖信息!D276</f>
        <v>0</v>
      </c>
      <c r="E278">
        <f>获奖信息!E276</f>
        <v>0</v>
      </c>
      <c r="F278">
        <f>获奖信息!F276</f>
        <v>0</v>
      </c>
      <c r="G278">
        <f>获奖信息!G276</f>
        <v>0</v>
      </c>
      <c r="H278">
        <f>获奖信息!H276</f>
        <v>0</v>
      </c>
      <c r="I278">
        <f>获奖信息!I276</f>
        <v>0</v>
      </c>
      <c r="J278">
        <f>获奖信息!J276</f>
        <v>0</v>
      </c>
      <c r="K278">
        <f>获奖信息!K276</f>
        <v>0</v>
      </c>
      <c r="L278">
        <f>获奖信息!L276</f>
        <v>0</v>
      </c>
      <c r="M278">
        <f>获奖信息!M276</f>
        <v>0</v>
      </c>
      <c r="N278">
        <f>获奖信息!N276</f>
        <v>0</v>
      </c>
      <c r="O278">
        <f>获奖信息!O276</f>
        <v>0</v>
      </c>
    </row>
    <row r="279" spans="1:15" x14ac:dyDescent="0.2">
      <c r="A279">
        <f>获奖信息!A277</f>
        <v>0</v>
      </c>
      <c r="B279">
        <f>获奖信息!B277</f>
        <v>0</v>
      </c>
      <c r="C279">
        <f>获奖信息!C277</f>
        <v>0</v>
      </c>
      <c r="D279">
        <f>获奖信息!D277</f>
        <v>0</v>
      </c>
      <c r="E279">
        <f>获奖信息!E277</f>
        <v>0</v>
      </c>
      <c r="F279">
        <f>获奖信息!F277</f>
        <v>0</v>
      </c>
      <c r="G279">
        <f>获奖信息!G277</f>
        <v>0</v>
      </c>
      <c r="H279">
        <f>获奖信息!H277</f>
        <v>0</v>
      </c>
      <c r="I279">
        <f>获奖信息!I277</f>
        <v>0</v>
      </c>
      <c r="J279">
        <f>获奖信息!J277</f>
        <v>0</v>
      </c>
      <c r="K279">
        <f>获奖信息!K277</f>
        <v>0</v>
      </c>
      <c r="L279">
        <f>获奖信息!L277</f>
        <v>0</v>
      </c>
      <c r="M279">
        <f>获奖信息!M277</f>
        <v>0</v>
      </c>
      <c r="N279">
        <f>获奖信息!N277</f>
        <v>0</v>
      </c>
      <c r="O279">
        <f>获奖信息!O277</f>
        <v>0</v>
      </c>
    </row>
    <row r="280" spans="1:15" x14ac:dyDescent="0.2">
      <c r="A280">
        <f>获奖信息!A278</f>
        <v>0</v>
      </c>
      <c r="B280">
        <f>获奖信息!B278</f>
        <v>0</v>
      </c>
      <c r="C280">
        <f>获奖信息!C278</f>
        <v>0</v>
      </c>
      <c r="D280">
        <f>获奖信息!D278</f>
        <v>0</v>
      </c>
      <c r="E280">
        <f>获奖信息!E278</f>
        <v>0</v>
      </c>
      <c r="F280">
        <f>获奖信息!F278</f>
        <v>0</v>
      </c>
      <c r="G280">
        <f>获奖信息!G278</f>
        <v>0</v>
      </c>
      <c r="H280">
        <f>获奖信息!H278</f>
        <v>0</v>
      </c>
      <c r="I280">
        <f>获奖信息!I278</f>
        <v>0</v>
      </c>
      <c r="J280">
        <f>获奖信息!J278</f>
        <v>0</v>
      </c>
      <c r="K280">
        <f>获奖信息!K278</f>
        <v>0</v>
      </c>
      <c r="L280">
        <f>获奖信息!L278</f>
        <v>0</v>
      </c>
      <c r="M280">
        <f>获奖信息!M278</f>
        <v>0</v>
      </c>
      <c r="N280">
        <f>获奖信息!N278</f>
        <v>0</v>
      </c>
      <c r="O280">
        <f>获奖信息!O278</f>
        <v>0</v>
      </c>
    </row>
    <row r="281" spans="1:15" x14ac:dyDescent="0.2">
      <c r="A281">
        <f>获奖信息!A279</f>
        <v>0</v>
      </c>
      <c r="B281">
        <f>获奖信息!B279</f>
        <v>0</v>
      </c>
      <c r="C281">
        <f>获奖信息!C279</f>
        <v>0</v>
      </c>
      <c r="D281">
        <f>获奖信息!D279</f>
        <v>0</v>
      </c>
      <c r="E281">
        <f>获奖信息!E279</f>
        <v>0</v>
      </c>
      <c r="F281">
        <f>获奖信息!F279</f>
        <v>0</v>
      </c>
      <c r="G281">
        <f>获奖信息!G279</f>
        <v>0</v>
      </c>
      <c r="H281">
        <f>获奖信息!H279</f>
        <v>0</v>
      </c>
      <c r="I281">
        <f>获奖信息!I279</f>
        <v>0</v>
      </c>
      <c r="J281">
        <f>获奖信息!J279</f>
        <v>0</v>
      </c>
      <c r="K281">
        <f>获奖信息!K279</f>
        <v>0</v>
      </c>
      <c r="L281">
        <f>获奖信息!L279</f>
        <v>0</v>
      </c>
      <c r="M281">
        <f>获奖信息!M279</f>
        <v>0</v>
      </c>
      <c r="N281">
        <f>获奖信息!N279</f>
        <v>0</v>
      </c>
      <c r="O281">
        <f>获奖信息!O279</f>
        <v>0</v>
      </c>
    </row>
    <row r="282" spans="1:15" x14ac:dyDescent="0.2">
      <c r="A282">
        <f>获奖信息!A280</f>
        <v>0</v>
      </c>
      <c r="B282">
        <f>获奖信息!B280</f>
        <v>0</v>
      </c>
      <c r="C282">
        <f>获奖信息!C280</f>
        <v>0</v>
      </c>
      <c r="D282">
        <f>获奖信息!D280</f>
        <v>0</v>
      </c>
      <c r="E282">
        <f>获奖信息!E280</f>
        <v>0</v>
      </c>
      <c r="F282">
        <f>获奖信息!F280</f>
        <v>0</v>
      </c>
      <c r="G282">
        <f>获奖信息!G280</f>
        <v>0</v>
      </c>
      <c r="H282">
        <f>获奖信息!H280</f>
        <v>0</v>
      </c>
      <c r="I282">
        <f>获奖信息!I280</f>
        <v>0</v>
      </c>
      <c r="J282">
        <f>获奖信息!J280</f>
        <v>0</v>
      </c>
      <c r="K282">
        <f>获奖信息!K280</f>
        <v>0</v>
      </c>
      <c r="L282">
        <f>获奖信息!L280</f>
        <v>0</v>
      </c>
      <c r="M282">
        <f>获奖信息!M280</f>
        <v>0</v>
      </c>
      <c r="N282">
        <f>获奖信息!N280</f>
        <v>0</v>
      </c>
      <c r="O282">
        <f>获奖信息!O280</f>
        <v>0</v>
      </c>
    </row>
    <row r="283" spans="1:15" x14ac:dyDescent="0.2">
      <c r="A283">
        <f>获奖信息!A281</f>
        <v>0</v>
      </c>
      <c r="B283">
        <f>获奖信息!B281</f>
        <v>0</v>
      </c>
      <c r="C283">
        <f>获奖信息!C281</f>
        <v>0</v>
      </c>
      <c r="D283">
        <f>获奖信息!D281</f>
        <v>0</v>
      </c>
      <c r="E283">
        <f>获奖信息!E281</f>
        <v>0</v>
      </c>
      <c r="F283">
        <f>获奖信息!F281</f>
        <v>0</v>
      </c>
      <c r="G283">
        <f>获奖信息!G281</f>
        <v>0</v>
      </c>
      <c r="H283">
        <f>获奖信息!H281</f>
        <v>0</v>
      </c>
      <c r="I283">
        <f>获奖信息!I281</f>
        <v>0</v>
      </c>
      <c r="J283">
        <f>获奖信息!J281</f>
        <v>0</v>
      </c>
      <c r="K283">
        <f>获奖信息!K281</f>
        <v>0</v>
      </c>
      <c r="L283">
        <f>获奖信息!L281</f>
        <v>0</v>
      </c>
      <c r="M283">
        <f>获奖信息!M281</f>
        <v>0</v>
      </c>
      <c r="N283">
        <f>获奖信息!N281</f>
        <v>0</v>
      </c>
      <c r="O283">
        <f>获奖信息!O281</f>
        <v>0</v>
      </c>
    </row>
    <row r="284" spans="1:15" x14ac:dyDescent="0.2">
      <c r="A284">
        <f>获奖信息!A282</f>
        <v>0</v>
      </c>
      <c r="B284">
        <f>获奖信息!B282</f>
        <v>0</v>
      </c>
      <c r="C284">
        <f>获奖信息!C282</f>
        <v>0</v>
      </c>
      <c r="D284">
        <f>获奖信息!D282</f>
        <v>0</v>
      </c>
      <c r="E284">
        <f>获奖信息!E282</f>
        <v>0</v>
      </c>
      <c r="F284">
        <f>获奖信息!F282</f>
        <v>0</v>
      </c>
      <c r="G284">
        <f>获奖信息!G282</f>
        <v>0</v>
      </c>
      <c r="H284">
        <f>获奖信息!H282</f>
        <v>0</v>
      </c>
      <c r="I284">
        <f>获奖信息!I282</f>
        <v>0</v>
      </c>
      <c r="J284">
        <f>获奖信息!J282</f>
        <v>0</v>
      </c>
      <c r="K284">
        <f>获奖信息!K282</f>
        <v>0</v>
      </c>
      <c r="L284">
        <f>获奖信息!L282</f>
        <v>0</v>
      </c>
      <c r="M284">
        <f>获奖信息!M282</f>
        <v>0</v>
      </c>
      <c r="N284">
        <f>获奖信息!N282</f>
        <v>0</v>
      </c>
      <c r="O284">
        <f>获奖信息!O282</f>
        <v>0</v>
      </c>
    </row>
    <row r="285" spans="1:15" x14ac:dyDescent="0.2">
      <c r="A285">
        <f>获奖信息!A283</f>
        <v>0</v>
      </c>
      <c r="B285">
        <f>获奖信息!B283</f>
        <v>0</v>
      </c>
      <c r="C285">
        <f>获奖信息!C283</f>
        <v>0</v>
      </c>
      <c r="D285">
        <f>获奖信息!D283</f>
        <v>0</v>
      </c>
      <c r="E285">
        <f>获奖信息!E283</f>
        <v>0</v>
      </c>
      <c r="F285">
        <f>获奖信息!F283</f>
        <v>0</v>
      </c>
      <c r="G285">
        <f>获奖信息!G283</f>
        <v>0</v>
      </c>
      <c r="H285">
        <f>获奖信息!H283</f>
        <v>0</v>
      </c>
      <c r="I285">
        <f>获奖信息!I283</f>
        <v>0</v>
      </c>
      <c r="J285">
        <f>获奖信息!J283</f>
        <v>0</v>
      </c>
      <c r="K285">
        <f>获奖信息!K283</f>
        <v>0</v>
      </c>
      <c r="L285">
        <f>获奖信息!L283</f>
        <v>0</v>
      </c>
      <c r="M285">
        <f>获奖信息!M283</f>
        <v>0</v>
      </c>
      <c r="N285">
        <f>获奖信息!N283</f>
        <v>0</v>
      </c>
      <c r="O285">
        <f>获奖信息!O283</f>
        <v>0</v>
      </c>
    </row>
    <row r="286" spans="1:15" x14ac:dyDescent="0.2">
      <c r="A286">
        <f>获奖信息!A284</f>
        <v>0</v>
      </c>
      <c r="B286">
        <f>获奖信息!B284</f>
        <v>0</v>
      </c>
      <c r="C286">
        <f>获奖信息!C284</f>
        <v>0</v>
      </c>
      <c r="D286">
        <f>获奖信息!D284</f>
        <v>0</v>
      </c>
      <c r="E286">
        <f>获奖信息!E284</f>
        <v>0</v>
      </c>
      <c r="F286">
        <f>获奖信息!F284</f>
        <v>0</v>
      </c>
      <c r="G286">
        <f>获奖信息!G284</f>
        <v>0</v>
      </c>
      <c r="H286">
        <f>获奖信息!H284</f>
        <v>0</v>
      </c>
      <c r="I286">
        <f>获奖信息!I284</f>
        <v>0</v>
      </c>
      <c r="J286">
        <f>获奖信息!J284</f>
        <v>0</v>
      </c>
      <c r="K286">
        <f>获奖信息!K284</f>
        <v>0</v>
      </c>
      <c r="L286">
        <f>获奖信息!L284</f>
        <v>0</v>
      </c>
      <c r="M286">
        <f>获奖信息!M284</f>
        <v>0</v>
      </c>
      <c r="N286">
        <f>获奖信息!N284</f>
        <v>0</v>
      </c>
      <c r="O286">
        <f>获奖信息!O284</f>
        <v>0</v>
      </c>
    </row>
    <row r="287" spans="1:15" x14ac:dyDescent="0.2">
      <c r="A287">
        <f>获奖信息!A285</f>
        <v>0</v>
      </c>
      <c r="B287">
        <f>获奖信息!B285</f>
        <v>0</v>
      </c>
      <c r="C287">
        <f>获奖信息!C285</f>
        <v>0</v>
      </c>
      <c r="D287">
        <f>获奖信息!D285</f>
        <v>0</v>
      </c>
      <c r="E287">
        <f>获奖信息!E285</f>
        <v>0</v>
      </c>
      <c r="F287">
        <f>获奖信息!F285</f>
        <v>0</v>
      </c>
      <c r="G287">
        <f>获奖信息!G285</f>
        <v>0</v>
      </c>
      <c r="H287">
        <f>获奖信息!H285</f>
        <v>0</v>
      </c>
      <c r="I287">
        <f>获奖信息!I285</f>
        <v>0</v>
      </c>
      <c r="J287">
        <f>获奖信息!J285</f>
        <v>0</v>
      </c>
      <c r="K287">
        <f>获奖信息!K285</f>
        <v>0</v>
      </c>
      <c r="L287">
        <f>获奖信息!L285</f>
        <v>0</v>
      </c>
      <c r="M287">
        <f>获奖信息!M285</f>
        <v>0</v>
      </c>
      <c r="N287">
        <f>获奖信息!N285</f>
        <v>0</v>
      </c>
      <c r="O287">
        <f>获奖信息!O285</f>
        <v>0</v>
      </c>
    </row>
    <row r="288" spans="1:15" x14ac:dyDescent="0.2">
      <c r="A288">
        <f>获奖信息!A286</f>
        <v>0</v>
      </c>
      <c r="B288">
        <f>获奖信息!B286</f>
        <v>0</v>
      </c>
      <c r="C288">
        <f>获奖信息!C286</f>
        <v>0</v>
      </c>
      <c r="D288">
        <f>获奖信息!D286</f>
        <v>0</v>
      </c>
      <c r="E288">
        <f>获奖信息!E286</f>
        <v>0</v>
      </c>
      <c r="F288">
        <f>获奖信息!F286</f>
        <v>0</v>
      </c>
      <c r="G288">
        <f>获奖信息!G286</f>
        <v>0</v>
      </c>
      <c r="H288">
        <f>获奖信息!H286</f>
        <v>0</v>
      </c>
      <c r="I288">
        <f>获奖信息!I286</f>
        <v>0</v>
      </c>
      <c r="J288">
        <f>获奖信息!J286</f>
        <v>0</v>
      </c>
      <c r="K288">
        <f>获奖信息!K286</f>
        <v>0</v>
      </c>
      <c r="L288">
        <f>获奖信息!L286</f>
        <v>0</v>
      </c>
      <c r="M288">
        <f>获奖信息!M286</f>
        <v>0</v>
      </c>
      <c r="N288">
        <f>获奖信息!N286</f>
        <v>0</v>
      </c>
      <c r="O288">
        <f>获奖信息!O286</f>
        <v>0</v>
      </c>
    </row>
    <row r="289" spans="1:15" x14ac:dyDescent="0.2">
      <c r="A289">
        <f>获奖信息!A287</f>
        <v>0</v>
      </c>
      <c r="B289">
        <f>获奖信息!B287</f>
        <v>0</v>
      </c>
      <c r="C289">
        <f>获奖信息!C287</f>
        <v>0</v>
      </c>
      <c r="D289">
        <f>获奖信息!D287</f>
        <v>0</v>
      </c>
      <c r="E289">
        <f>获奖信息!E287</f>
        <v>0</v>
      </c>
      <c r="F289">
        <f>获奖信息!F287</f>
        <v>0</v>
      </c>
      <c r="G289">
        <f>获奖信息!G287</f>
        <v>0</v>
      </c>
      <c r="H289">
        <f>获奖信息!H287</f>
        <v>0</v>
      </c>
      <c r="I289">
        <f>获奖信息!I287</f>
        <v>0</v>
      </c>
      <c r="J289">
        <f>获奖信息!J287</f>
        <v>0</v>
      </c>
      <c r="K289">
        <f>获奖信息!K287</f>
        <v>0</v>
      </c>
      <c r="L289">
        <f>获奖信息!L287</f>
        <v>0</v>
      </c>
      <c r="M289">
        <f>获奖信息!M287</f>
        <v>0</v>
      </c>
      <c r="N289">
        <f>获奖信息!N287</f>
        <v>0</v>
      </c>
      <c r="O289">
        <f>获奖信息!O287</f>
        <v>0</v>
      </c>
    </row>
    <row r="290" spans="1:15" x14ac:dyDescent="0.2">
      <c r="A290">
        <f>获奖信息!A288</f>
        <v>0</v>
      </c>
      <c r="B290">
        <f>获奖信息!B288</f>
        <v>0</v>
      </c>
      <c r="C290">
        <f>获奖信息!C288</f>
        <v>0</v>
      </c>
      <c r="D290">
        <f>获奖信息!D288</f>
        <v>0</v>
      </c>
      <c r="E290">
        <f>获奖信息!E288</f>
        <v>0</v>
      </c>
      <c r="F290">
        <f>获奖信息!F288</f>
        <v>0</v>
      </c>
      <c r="G290">
        <f>获奖信息!G288</f>
        <v>0</v>
      </c>
      <c r="H290">
        <f>获奖信息!H288</f>
        <v>0</v>
      </c>
      <c r="I290">
        <f>获奖信息!I288</f>
        <v>0</v>
      </c>
      <c r="J290">
        <f>获奖信息!J288</f>
        <v>0</v>
      </c>
      <c r="K290">
        <f>获奖信息!K288</f>
        <v>0</v>
      </c>
      <c r="L290">
        <f>获奖信息!L288</f>
        <v>0</v>
      </c>
      <c r="M290">
        <f>获奖信息!M288</f>
        <v>0</v>
      </c>
      <c r="N290">
        <f>获奖信息!N288</f>
        <v>0</v>
      </c>
      <c r="O290">
        <f>获奖信息!O288</f>
        <v>0</v>
      </c>
    </row>
    <row r="291" spans="1:15" x14ac:dyDescent="0.2">
      <c r="A291">
        <f>获奖信息!A289</f>
        <v>0</v>
      </c>
      <c r="B291">
        <f>获奖信息!B289</f>
        <v>0</v>
      </c>
      <c r="C291">
        <f>获奖信息!C289</f>
        <v>0</v>
      </c>
      <c r="D291">
        <f>获奖信息!D289</f>
        <v>0</v>
      </c>
      <c r="E291">
        <f>获奖信息!E289</f>
        <v>0</v>
      </c>
      <c r="F291">
        <f>获奖信息!F289</f>
        <v>0</v>
      </c>
      <c r="G291">
        <f>获奖信息!G289</f>
        <v>0</v>
      </c>
      <c r="H291">
        <f>获奖信息!H289</f>
        <v>0</v>
      </c>
      <c r="I291">
        <f>获奖信息!I289</f>
        <v>0</v>
      </c>
      <c r="J291">
        <f>获奖信息!J289</f>
        <v>0</v>
      </c>
      <c r="K291">
        <f>获奖信息!K289</f>
        <v>0</v>
      </c>
      <c r="L291">
        <f>获奖信息!L289</f>
        <v>0</v>
      </c>
      <c r="M291">
        <f>获奖信息!M289</f>
        <v>0</v>
      </c>
      <c r="N291">
        <f>获奖信息!N289</f>
        <v>0</v>
      </c>
      <c r="O291">
        <f>获奖信息!O289</f>
        <v>0</v>
      </c>
    </row>
    <row r="292" spans="1:15" x14ac:dyDescent="0.2">
      <c r="A292">
        <f>获奖信息!A290</f>
        <v>0</v>
      </c>
      <c r="B292">
        <f>获奖信息!B290</f>
        <v>0</v>
      </c>
      <c r="C292">
        <f>获奖信息!C290</f>
        <v>0</v>
      </c>
      <c r="D292">
        <f>获奖信息!D290</f>
        <v>0</v>
      </c>
      <c r="E292">
        <f>获奖信息!E290</f>
        <v>0</v>
      </c>
      <c r="F292">
        <f>获奖信息!F290</f>
        <v>0</v>
      </c>
      <c r="G292">
        <f>获奖信息!G290</f>
        <v>0</v>
      </c>
      <c r="H292">
        <f>获奖信息!H290</f>
        <v>0</v>
      </c>
      <c r="I292">
        <f>获奖信息!I290</f>
        <v>0</v>
      </c>
      <c r="J292">
        <f>获奖信息!J290</f>
        <v>0</v>
      </c>
      <c r="K292">
        <f>获奖信息!K290</f>
        <v>0</v>
      </c>
      <c r="L292">
        <f>获奖信息!L290</f>
        <v>0</v>
      </c>
      <c r="M292">
        <f>获奖信息!M290</f>
        <v>0</v>
      </c>
      <c r="N292">
        <f>获奖信息!N290</f>
        <v>0</v>
      </c>
      <c r="O292">
        <f>获奖信息!O290</f>
        <v>0</v>
      </c>
    </row>
    <row r="293" spans="1:15" x14ac:dyDescent="0.2">
      <c r="A293">
        <f>获奖信息!A291</f>
        <v>0</v>
      </c>
      <c r="B293">
        <f>获奖信息!B291</f>
        <v>0</v>
      </c>
      <c r="C293">
        <f>获奖信息!C291</f>
        <v>0</v>
      </c>
      <c r="D293">
        <f>获奖信息!D291</f>
        <v>0</v>
      </c>
      <c r="E293">
        <f>获奖信息!E291</f>
        <v>0</v>
      </c>
      <c r="F293">
        <f>获奖信息!F291</f>
        <v>0</v>
      </c>
      <c r="G293">
        <f>获奖信息!G291</f>
        <v>0</v>
      </c>
      <c r="H293">
        <f>获奖信息!H291</f>
        <v>0</v>
      </c>
      <c r="I293">
        <f>获奖信息!I291</f>
        <v>0</v>
      </c>
      <c r="J293">
        <f>获奖信息!J291</f>
        <v>0</v>
      </c>
      <c r="K293">
        <f>获奖信息!K291</f>
        <v>0</v>
      </c>
      <c r="L293">
        <f>获奖信息!L291</f>
        <v>0</v>
      </c>
      <c r="M293">
        <f>获奖信息!M291</f>
        <v>0</v>
      </c>
      <c r="N293">
        <f>获奖信息!N291</f>
        <v>0</v>
      </c>
      <c r="O293">
        <f>获奖信息!O291</f>
        <v>0</v>
      </c>
    </row>
    <row r="294" spans="1:15" x14ac:dyDescent="0.2">
      <c r="A294">
        <f>获奖信息!A292</f>
        <v>0</v>
      </c>
      <c r="B294">
        <f>获奖信息!B292</f>
        <v>0</v>
      </c>
      <c r="C294">
        <f>获奖信息!C292</f>
        <v>0</v>
      </c>
      <c r="D294">
        <f>获奖信息!D292</f>
        <v>0</v>
      </c>
      <c r="E294">
        <f>获奖信息!E292</f>
        <v>0</v>
      </c>
      <c r="F294">
        <f>获奖信息!F292</f>
        <v>0</v>
      </c>
      <c r="G294">
        <f>获奖信息!G292</f>
        <v>0</v>
      </c>
      <c r="H294">
        <f>获奖信息!H292</f>
        <v>0</v>
      </c>
      <c r="I294">
        <f>获奖信息!I292</f>
        <v>0</v>
      </c>
      <c r="J294">
        <f>获奖信息!J292</f>
        <v>0</v>
      </c>
      <c r="K294">
        <f>获奖信息!K292</f>
        <v>0</v>
      </c>
      <c r="L294">
        <f>获奖信息!L292</f>
        <v>0</v>
      </c>
      <c r="M294">
        <f>获奖信息!M292</f>
        <v>0</v>
      </c>
      <c r="N294">
        <f>获奖信息!N292</f>
        <v>0</v>
      </c>
      <c r="O294">
        <f>获奖信息!O292</f>
        <v>0</v>
      </c>
    </row>
    <row r="295" spans="1:15" x14ac:dyDescent="0.2">
      <c r="A295">
        <f>获奖信息!A293</f>
        <v>0</v>
      </c>
      <c r="B295">
        <f>获奖信息!B293</f>
        <v>0</v>
      </c>
      <c r="C295">
        <f>获奖信息!C293</f>
        <v>0</v>
      </c>
      <c r="D295">
        <f>获奖信息!D293</f>
        <v>0</v>
      </c>
      <c r="E295">
        <f>获奖信息!E293</f>
        <v>0</v>
      </c>
      <c r="F295">
        <f>获奖信息!F293</f>
        <v>0</v>
      </c>
      <c r="G295">
        <f>获奖信息!G293</f>
        <v>0</v>
      </c>
      <c r="H295">
        <f>获奖信息!H293</f>
        <v>0</v>
      </c>
      <c r="I295">
        <f>获奖信息!I293</f>
        <v>0</v>
      </c>
      <c r="J295">
        <f>获奖信息!J293</f>
        <v>0</v>
      </c>
      <c r="K295">
        <f>获奖信息!K293</f>
        <v>0</v>
      </c>
      <c r="L295">
        <f>获奖信息!L293</f>
        <v>0</v>
      </c>
      <c r="M295">
        <f>获奖信息!M293</f>
        <v>0</v>
      </c>
      <c r="N295">
        <f>获奖信息!N293</f>
        <v>0</v>
      </c>
      <c r="O295">
        <f>获奖信息!O293</f>
        <v>0</v>
      </c>
    </row>
    <row r="296" spans="1:15" x14ac:dyDescent="0.2">
      <c r="A296">
        <f>获奖信息!A294</f>
        <v>0</v>
      </c>
      <c r="B296">
        <f>获奖信息!B294</f>
        <v>0</v>
      </c>
      <c r="C296">
        <f>获奖信息!C294</f>
        <v>0</v>
      </c>
      <c r="D296">
        <f>获奖信息!D294</f>
        <v>0</v>
      </c>
      <c r="E296">
        <f>获奖信息!E294</f>
        <v>0</v>
      </c>
      <c r="F296">
        <f>获奖信息!F294</f>
        <v>0</v>
      </c>
      <c r="G296">
        <f>获奖信息!G294</f>
        <v>0</v>
      </c>
      <c r="H296">
        <f>获奖信息!H294</f>
        <v>0</v>
      </c>
      <c r="I296">
        <f>获奖信息!I294</f>
        <v>0</v>
      </c>
      <c r="J296">
        <f>获奖信息!J294</f>
        <v>0</v>
      </c>
      <c r="K296">
        <f>获奖信息!K294</f>
        <v>0</v>
      </c>
      <c r="L296">
        <f>获奖信息!L294</f>
        <v>0</v>
      </c>
      <c r="M296">
        <f>获奖信息!M294</f>
        <v>0</v>
      </c>
      <c r="N296">
        <f>获奖信息!N294</f>
        <v>0</v>
      </c>
      <c r="O296">
        <f>获奖信息!O294</f>
        <v>0</v>
      </c>
    </row>
    <row r="297" spans="1:15" x14ac:dyDescent="0.2">
      <c r="A297">
        <f>获奖信息!A295</f>
        <v>0</v>
      </c>
      <c r="B297">
        <f>获奖信息!B295</f>
        <v>0</v>
      </c>
      <c r="C297">
        <f>获奖信息!C295</f>
        <v>0</v>
      </c>
      <c r="D297">
        <f>获奖信息!D295</f>
        <v>0</v>
      </c>
      <c r="E297">
        <f>获奖信息!E295</f>
        <v>0</v>
      </c>
      <c r="F297">
        <f>获奖信息!F295</f>
        <v>0</v>
      </c>
      <c r="G297">
        <f>获奖信息!G295</f>
        <v>0</v>
      </c>
      <c r="H297">
        <f>获奖信息!H295</f>
        <v>0</v>
      </c>
      <c r="I297">
        <f>获奖信息!I295</f>
        <v>0</v>
      </c>
      <c r="J297">
        <f>获奖信息!J295</f>
        <v>0</v>
      </c>
      <c r="K297">
        <f>获奖信息!K295</f>
        <v>0</v>
      </c>
      <c r="L297">
        <f>获奖信息!L295</f>
        <v>0</v>
      </c>
      <c r="M297">
        <f>获奖信息!M295</f>
        <v>0</v>
      </c>
      <c r="N297">
        <f>获奖信息!N295</f>
        <v>0</v>
      </c>
      <c r="O297">
        <f>获奖信息!O295</f>
        <v>0</v>
      </c>
    </row>
    <row r="298" spans="1:15" x14ac:dyDescent="0.2">
      <c r="A298">
        <f>获奖信息!A296</f>
        <v>0</v>
      </c>
      <c r="B298">
        <f>获奖信息!B296</f>
        <v>0</v>
      </c>
      <c r="C298">
        <f>获奖信息!C296</f>
        <v>0</v>
      </c>
      <c r="D298">
        <f>获奖信息!D296</f>
        <v>0</v>
      </c>
      <c r="E298">
        <f>获奖信息!E296</f>
        <v>0</v>
      </c>
      <c r="F298">
        <f>获奖信息!F296</f>
        <v>0</v>
      </c>
      <c r="G298">
        <f>获奖信息!G296</f>
        <v>0</v>
      </c>
      <c r="H298">
        <f>获奖信息!H296</f>
        <v>0</v>
      </c>
      <c r="I298">
        <f>获奖信息!I296</f>
        <v>0</v>
      </c>
      <c r="J298">
        <f>获奖信息!J296</f>
        <v>0</v>
      </c>
      <c r="K298">
        <f>获奖信息!K296</f>
        <v>0</v>
      </c>
      <c r="L298">
        <f>获奖信息!L296</f>
        <v>0</v>
      </c>
      <c r="M298">
        <f>获奖信息!M296</f>
        <v>0</v>
      </c>
      <c r="N298">
        <f>获奖信息!N296</f>
        <v>0</v>
      </c>
      <c r="O298">
        <f>获奖信息!O296</f>
        <v>0</v>
      </c>
    </row>
    <row r="299" spans="1:15" x14ac:dyDescent="0.2">
      <c r="A299">
        <f>获奖信息!A297</f>
        <v>0</v>
      </c>
      <c r="B299">
        <f>获奖信息!B297</f>
        <v>0</v>
      </c>
      <c r="C299">
        <f>获奖信息!C297</f>
        <v>0</v>
      </c>
      <c r="D299">
        <f>获奖信息!D297</f>
        <v>0</v>
      </c>
      <c r="E299">
        <f>获奖信息!E297</f>
        <v>0</v>
      </c>
      <c r="F299">
        <f>获奖信息!F297</f>
        <v>0</v>
      </c>
      <c r="G299">
        <f>获奖信息!G297</f>
        <v>0</v>
      </c>
      <c r="H299">
        <f>获奖信息!H297</f>
        <v>0</v>
      </c>
      <c r="I299">
        <f>获奖信息!I297</f>
        <v>0</v>
      </c>
      <c r="J299">
        <f>获奖信息!J297</f>
        <v>0</v>
      </c>
      <c r="K299">
        <f>获奖信息!K297</f>
        <v>0</v>
      </c>
      <c r="L299">
        <f>获奖信息!L297</f>
        <v>0</v>
      </c>
      <c r="M299">
        <f>获奖信息!M297</f>
        <v>0</v>
      </c>
      <c r="N299">
        <f>获奖信息!N297</f>
        <v>0</v>
      </c>
      <c r="O299">
        <f>获奖信息!O297</f>
        <v>0</v>
      </c>
    </row>
    <row r="300" spans="1:15" x14ac:dyDescent="0.2">
      <c r="A300">
        <f>获奖信息!A298</f>
        <v>0</v>
      </c>
      <c r="B300">
        <f>获奖信息!B298</f>
        <v>0</v>
      </c>
      <c r="C300">
        <f>获奖信息!C298</f>
        <v>0</v>
      </c>
      <c r="D300">
        <f>获奖信息!D298</f>
        <v>0</v>
      </c>
      <c r="E300">
        <f>获奖信息!E298</f>
        <v>0</v>
      </c>
      <c r="F300">
        <f>获奖信息!F298</f>
        <v>0</v>
      </c>
      <c r="G300">
        <f>获奖信息!G298</f>
        <v>0</v>
      </c>
      <c r="H300">
        <f>获奖信息!H298</f>
        <v>0</v>
      </c>
      <c r="I300">
        <f>获奖信息!I298</f>
        <v>0</v>
      </c>
      <c r="J300">
        <f>获奖信息!J298</f>
        <v>0</v>
      </c>
      <c r="K300">
        <f>获奖信息!K298</f>
        <v>0</v>
      </c>
      <c r="L300">
        <f>获奖信息!L298</f>
        <v>0</v>
      </c>
      <c r="M300">
        <f>获奖信息!M298</f>
        <v>0</v>
      </c>
      <c r="N300">
        <f>获奖信息!N298</f>
        <v>0</v>
      </c>
      <c r="O300">
        <f>获奖信息!O298</f>
        <v>0</v>
      </c>
    </row>
    <row r="301" spans="1:15" x14ac:dyDescent="0.2">
      <c r="A301">
        <f>获奖信息!A299</f>
        <v>0</v>
      </c>
      <c r="B301">
        <f>获奖信息!B299</f>
        <v>0</v>
      </c>
      <c r="C301">
        <f>获奖信息!C299</f>
        <v>0</v>
      </c>
      <c r="D301">
        <f>获奖信息!D299</f>
        <v>0</v>
      </c>
      <c r="E301">
        <f>获奖信息!E299</f>
        <v>0</v>
      </c>
      <c r="F301">
        <f>获奖信息!F299</f>
        <v>0</v>
      </c>
      <c r="G301">
        <f>获奖信息!G299</f>
        <v>0</v>
      </c>
      <c r="H301">
        <f>获奖信息!H299</f>
        <v>0</v>
      </c>
      <c r="I301">
        <f>获奖信息!I299</f>
        <v>0</v>
      </c>
      <c r="J301">
        <f>获奖信息!J299</f>
        <v>0</v>
      </c>
      <c r="K301">
        <f>获奖信息!K299</f>
        <v>0</v>
      </c>
      <c r="L301">
        <f>获奖信息!L299</f>
        <v>0</v>
      </c>
      <c r="M301">
        <f>获奖信息!M299</f>
        <v>0</v>
      </c>
      <c r="N301">
        <f>获奖信息!N299</f>
        <v>0</v>
      </c>
      <c r="O301">
        <f>获奖信息!O299</f>
        <v>0</v>
      </c>
    </row>
    <row r="302" spans="1:15" x14ac:dyDescent="0.2">
      <c r="A302">
        <f>获奖信息!A300</f>
        <v>0</v>
      </c>
      <c r="B302">
        <f>获奖信息!B300</f>
        <v>0</v>
      </c>
      <c r="C302">
        <f>获奖信息!C300</f>
        <v>0</v>
      </c>
      <c r="D302">
        <f>获奖信息!D300</f>
        <v>0</v>
      </c>
      <c r="E302">
        <f>获奖信息!E300</f>
        <v>0</v>
      </c>
      <c r="F302">
        <f>获奖信息!F300</f>
        <v>0</v>
      </c>
      <c r="G302">
        <f>获奖信息!G300</f>
        <v>0</v>
      </c>
      <c r="H302">
        <f>获奖信息!H300</f>
        <v>0</v>
      </c>
      <c r="I302">
        <f>获奖信息!I300</f>
        <v>0</v>
      </c>
      <c r="J302">
        <f>获奖信息!J300</f>
        <v>0</v>
      </c>
      <c r="K302">
        <f>获奖信息!K300</f>
        <v>0</v>
      </c>
      <c r="L302">
        <f>获奖信息!L300</f>
        <v>0</v>
      </c>
      <c r="M302">
        <f>获奖信息!M300</f>
        <v>0</v>
      </c>
      <c r="N302">
        <f>获奖信息!N300</f>
        <v>0</v>
      </c>
      <c r="O302">
        <f>获奖信息!O300</f>
        <v>0</v>
      </c>
    </row>
    <row r="303" spans="1:15" x14ac:dyDescent="0.2">
      <c r="A303">
        <f>获奖信息!A301</f>
        <v>0</v>
      </c>
      <c r="B303">
        <f>获奖信息!B301</f>
        <v>0</v>
      </c>
      <c r="C303">
        <f>获奖信息!C301</f>
        <v>0</v>
      </c>
      <c r="D303">
        <f>获奖信息!D301</f>
        <v>0</v>
      </c>
      <c r="E303">
        <f>获奖信息!E301</f>
        <v>0</v>
      </c>
      <c r="F303">
        <f>获奖信息!F301</f>
        <v>0</v>
      </c>
      <c r="G303">
        <f>获奖信息!G301</f>
        <v>0</v>
      </c>
      <c r="H303">
        <f>获奖信息!H301</f>
        <v>0</v>
      </c>
      <c r="I303">
        <f>获奖信息!I301</f>
        <v>0</v>
      </c>
      <c r="J303">
        <f>获奖信息!J301</f>
        <v>0</v>
      </c>
      <c r="K303">
        <f>获奖信息!K301</f>
        <v>0</v>
      </c>
      <c r="L303">
        <f>获奖信息!L301</f>
        <v>0</v>
      </c>
      <c r="M303">
        <f>获奖信息!M301</f>
        <v>0</v>
      </c>
      <c r="N303">
        <f>获奖信息!N301</f>
        <v>0</v>
      </c>
      <c r="O303">
        <f>获奖信息!O301</f>
        <v>0</v>
      </c>
    </row>
    <row r="304" spans="1:15" x14ac:dyDescent="0.2">
      <c r="A304">
        <f>获奖信息!A302</f>
        <v>0</v>
      </c>
      <c r="B304">
        <f>获奖信息!B302</f>
        <v>0</v>
      </c>
      <c r="C304">
        <f>获奖信息!C302</f>
        <v>0</v>
      </c>
      <c r="D304">
        <f>获奖信息!D302</f>
        <v>0</v>
      </c>
      <c r="E304">
        <f>获奖信息!E302</f>
        <v>0</v>
      </c>
      <c r="F304">
        <f>获奖信息!F302</f>
        <v>0</v>
      </c>
      <c r="G304">
        <f>获奖信息!G302</f>
        <v>0</v>
      </c>
      <c r="H304">
        <f>获奖信息!H302</f>
        <v>0</v>
      </c>
      <c r="I304">
        <f>获奖信息!I302</f>
        <v>0</v>
      </c>
      <c r="J304">
        <f>获奖信息!J302</f>
        <v>0</v>
      </c>
      <c r="K304">
        <f>获奖信息!K302</f>
        <v>0</v>
      </c>
      <c r="L304">
        <f>获奖信息!L302</f>
        <v>0</v>
      </c>
      <c r="M304">
        <f>获奖信息!M302</f>
        <v>0</v>
      </c>
      <c r="N304">
        <f>获奖信息!N302</f>
        <v>0</v>
      </c>
      <c r="O304">
        <f>获奖信息!O302</f>
        <v>0</v>
      </c>
    </row>
    <row r="305" spans="1:15" x14ac:dyDescent="0.2">
      <c r="A305">
        <f>获奖信息!A303</f>
        <v>0</v>
      </c>
      <c r="B305">
        <f>获奖信息!B303</f>
        <v>0</v>
      </c>
      <c r="C305">
        <f>获奖信息!C303</f>
        <v>0</v>
      </c>
      <c r="D305">
        <f>获奖信息!D303</f>
        <v>0</v>
      </c>
      <c r="E305">
        <f>获奖信息!E303</f>
        <v>0</v>
      </c>
      <c r="F305">
        <f>获奖信息!F303</f>
        <v>0</v>
      </c>
      <c r="G305">
        <f>获奖信息!G303</f>
        <v>0</v>
      </c>
      <c r="H305">
        <f>获奖信息!H303</f>
        <v>0</v>
      </c>
      <c r="I305">
        <f>获奖信息!I303</f>
        <v>0</v>
      </c>
      <c r="J305">
        <f>获奖信息!J303</f>
        <v>0</v>
      </c>
      <c r="K305">
        <f>获奖信息!K303</f>
        <v>0</v>
      </c>
      <c r="L305">
        <f>获奖信息!L303</f>
        <v>0</v>
      </c>
      <c r="M305">
        <f>获奖信息!M303</f>
        <v>0</v>
      </c>
      <c r="N305">
        <f>获奖信息!N303</f>
        <v>0</v>
      </c>
      <c r="O305">
        <f>获奖信息!O303</f>
        <v>0</v>
      </c>
    </row>
    <row r="306" spans="1:15" x14ac:dyDescent="0.2">
      <c r="A306">
        <f>获奖信息!A304</f>
        <v>0</v>
      </c>
      <c r="B306">
        <f>获奖信息!B304</f>
        <v>0</v>
      </c>
      <c r="C306">
        <f>获奖信息!C304</f>
        <v>0</v>
      </c>
      <c r="D306">
        <f>获奖信息!D304</f>
        <v>0</v>
      </c>
      <c r="E306">
        <f>获奖信息!E304</f>
        <v>0</v>
      </c>
      <c r="F306">
        <f>获奖信息!F304</f>
        <v>0</v>
      </c>
      <c r="G306">
        <f>获奖信息!G304</f>
        <v>0</v>
      </c>
      <c r="H306">
        <f>获奖信息!H304</f>
        <v>0</v>
      </c>
      <c r="I306">
        <f>获奖信息!I304</f>
        <v>0</v>
      </c>
      <c r="J306">
        <f>获奖信息!J304</f>
        <v>0</v>
      </c>
      <c r="K306">
        <f>获奖信息!K304</f>
        <v>0</v>
      </c>
      <c r="L306">
        <f>获奖信息!L304</f>
        <v>0</v>
      </c>
      <c r="M306">
        <f>获奖信息!M304</f>
        <v>0</v>
      </c>
      <c r="N306">
        <f>获奖信息!N304</f>
        <v>0</v>
      </c>
      <c r="O306">
        <f>获奖信息!O304</f>
        <v>0</v>
      </c>
    </row>
    <row r="307" spans="1:15" x14ac:dyDescent="0.2">
      <c r="A307">
        <f>获奖信息!A305</f>
        <v>0</v>
      </c>
      <c r="B307">
        <f>获奖信息!B305</f>
        <v>0</v>
      </c>
      <c r="C307">
        <f>获奖信息!C305</f>
        <v>0</v>
      </c>
      <c r="D307">
        <f>获奖信息!D305</f>
        <v>0</v>
      </c>
      <c r="E307">
        <f>获奖信息!E305</f>
        <v>0</v>
      </c>
      <c r="F307">
        <f>获奖信息!F305</f>
        <v>0</v>
      </c>
      <c r="G307">
        <f>获奖信息!G305</f>
        <v>0</v>
      </c>
      <c r="H307">
        <f>获奖信息!H305</f>
        <v>0</v>
      </c>
      <c r="I307">
        <f>获奖信息!I305</f>
        <v>0</v>
      </c>
      <c r="J307">
        <f>获奖信息!J305</f>
        <v>0</v>
      </c>
      <c r="K307">
        <f>获奖信息!K305</f>
        <v>0</v>
      </c>
      <c r="L307">
        <f>获奖信息!L305</f>
        <v>0</v>
      </c>
      <c r="M307">
        <f>获奖信息!M305</f>
        <v>0</v>
      </c>
      <c r="N307">
        <f>获奖信息!N305</f>
        <v>0</v>
      </c>
      <c r="O307">
        <f>获奖信息!O305</f>
        <v>0</v>
      </c>
    </row>
    <row r="308" spans="1:15" x14ac:dyDescent="0.2">
      <c r="A308">
        <f>获奖信息!A306</f>
        <v>0</v>
      </c>
      <c r="B308">
        <f>获奖信息!B306</f>
        <v>0</v>
      </c>
      <c r="C308">
        <f>获奖信息!C306</f>
        <v>0</v>
      </c>
      <c r="D308">
        <f>获奖信息!D306</f>
        <v>0</v>
      </c>
      <c r="E308">
        <f>获奖信息!E306</f>
        <v>0</v>
      </c>
      <c r="F308">
        <f>获奖信息!F306</f>
        <v>0</v>
      </c>
      <c r="G308">
        <f>获奖信息!G306</f>
        <v>0</v>
      </c>
      <c r="H308">
        <f>获奖信息!H306</f>
        <v>0</v>
      </c>
      <c r="I308">
        <f>获奖信息!I306</f>
        <v>0</v>
      </c>
      <c r="J308">
        <f>获奖信息!J306</f>
        <v>0</v>
      </c>
      <c r="K308">
        <f>获奖信息!K306</f>
        <v>0</v>
      </c>
      <c r="L308">
        <f>获奖信息!L306</f>
        <v>0</v>
      </c>
      <c r="M308">
        <f>获奖信息!M306</f>
        <v>0</v>
      </c>
      <c r="N308">
        <f>获奖信息!N306</f>
        <v>0</v>
      </c>
      <c r="O308">
        <f>获奖信息!O306</f>
        <v>0</v>
      </c>
    </row>
    <row r="309" spans="1:15" x14ac:dyDescent="0.2">
      <c r="A309">
        <f>获奖信息!A307</f>
        <v>0</v>
      </c>
      <c r="B309">
        <f>获奖信息!B307</f>
        <v>0</v>
      </c>
      <c r="C309">
        <f>获奖信息!C307</f>
        <v>0</v>
      </c>
      <c r="D309">
        <f>获奖信息!D307</f>
        <v>0</v>
      </c>
      <c r="E309">
        <f>获奖信息!E307</f>
        <v>0</v>
      </c>
      <c r="F309">
        <f>获奖信息!F307</f>
        <v>0</v>
      </c>
      <c r="G309">
        <f>获奖信息!G307</f>
        <v>0</v>
      </c>
      <c r="H309">
        <f>获奖信息!H307</f>
        <v>0</v>
      </c>
      <c r="I309">
        <f>获奖信息!I307</f>
        <v>0</v>
      </c>
      <c r="J309">
        <f>获奖信息!J307</f>
        <v>0</v>
      </c>
      <c r="K309">
        <f>获奖信息!K307</f>
        <v>0</v>
      </c>
      <c r="L309">
        <f>获奖信息!L307</f>
        <v>0</v>
      </c>
      <c r="M309">
        <f>获奖信息!M307</f>
        <v>0</v>
      </c>
      <c r="N309">
        <f>获奖信息!N307</f>
        <v>0</v>
      </c>
      <c r="O309">
        <f>获奖信息!O307</f>
        <v>0</v>
      </c>
    </row>
    <row r="310" spans="1:15" x14ac:dyDescent="0.2">
      <c r="A310">
        <f>获奖信息!A308</f>
        <v>0</v>
      </c>
      <c r="B310">
        <f>获奖信息!B308</f>
        <v>0</v>
      </c>
      <c r="C310">
        <f>获奖信息!C308</f>
        <v>0</v>
      </c>
      <c r="D310">
        <f>获奖信息!D308</f>
        <v>0</v>
      </c>
      <c r="E310">
        <f>获奖信息!E308</f>
        <v>0</v>
      </c>
      <c r="F310">
        <f>获奖信息!F308</f>
        <v>0</v>
      </c>
      <c r="G310">
        <f>获奖信息!G308</f>
        <v>0</v>
      </c>
      <c r="H310">
        <f>获奖信息!H308</f>
        <v>0</v>
      </c>
      <c r="I310">
        <f>获奖信息!I308</f>
        <v>0</v>
      </c>
      <c r="J310">
        <f>获奖信息!J308</f>
        <v>0</v>
      </c>
      <c r="K310">
        <f>获奖信息!K308</f>
        <v>0</v>
      </c>
      <c r="L310">
        <f>获奖信息!L308</f>
        <v>0</v>
      </c>
      <c r="M310">
        <f>获奖信息!M308</f>
        <v>0</v>
      </c>
      <c r="N310">
        <f>获奖信息!N308</f>
        <v>0</v>
      </c>
      <c r="O310">
        <f>获奖信息!O308</f>
        <v>0</v>
      </c>
    </row>
    <row r="311" spans="1:15" x14ac:dyDescent="0.2">
      <c r="A311">
        <f>获奖信息!A309</f>
        <v>0</v>
      </c>
      <c r="B311">
        <f>获奖信息!B309</f>
        <v>0</v>
      </c>
      <c r="C311">
        <f>获奖信息!C309</f>
        <v>0</v>
      </c>
      <c r="D311">
        <f>获奖信息!D309</f>
        <v>0</v>
      </c>
      <c r="E311">
        <f>获奖信息!E309</f>
        <v>0</v>
      </c>
      <c r="F311">
        <f>获奖信息!F309</f>
        <v>0</v>
      </c>
      <c r="G311">
        <f>获奖信息!G309</f>
        <v>0</v>
      </c>
      <c r="H311">
        <f>获奖信息!H309</f>
        <v>0</v>
      </c>
      <c r="I311">
        <f>获奖信息!I309</f>
        <v>0</v>
      </c>
      <c r="J311">
        <f>获奖信息!J309</f>
        <v>0</v>
      </c>
      <c r="K311">
        <f>获奖信息!K309</f>
        <v>0</v>
      </c>
      <c r="L311">
        <f>获奖信息!L309</f>
        <v>0</v>
      </c>
      <c r="M311">
        <f>获奖信息!M309</f>
        <v>0</v>
      </c>
      <c r="N311">
        <f>获奖信息!N309</f>
        <v>0</v>
      </c>
      <c r="O311">
        <f>获奖信息!O309</f>
        <v>0</v>
      </c>
    </row>
    <row r="312" spans="1:15" x14ac:dyDescent="0.2">
      <c r="A312">
        <f>获奖信息!A310</f>
        <v>0</v>
      </c>
      <c r="B312">
        <f>获奖信息!B310</f>
        <v>0</v>
      </c>
      <c r="C312">
        <f>获奖信息!C310</f>
        <v>0</v>
      </c>
      <c r="D312">
        <f>获奖信息!D310</f>
        <v>0</v>
      </c>
      <c r="E312">
        <f>获奖信息!E310</f>
        <v>0</v>
      </c>
      <c r="F312">
        <f>获奖信息!F310</f>
        <v>0</v>
      </c>
      <c r="G312">
        <f>获奖信息!G310</f>
        <v>0</v>
      </c>
      <c r="H312">
        <f>获奖信息!H310</f>
        <v>0</v>
      </c>
      <c r="I312">
        <f>获奖信息!I310</f>
        <v>0</v>
      </c>
      <c r="J312">
        <f>获奖信息!J310</f>
        <v>0</v>
      </c>
      <c r="K312">
        <f>获奖信息!K310</f>
        <v>0</v>
      </c>
      <c r="L312">
        <f>获奖信息!L310</f>
        <v>0</v>
      </c>
      <c r="M312">
        <f>获奖信息!M310</f>
        <v>0</v>
      </c>
      <c r="N312">
        <f>获奖信息!N310</f>
        <v>0</v>
      </c>
      <c r="O312">
        <f>获奖信息!O310</f>
        <v>0</v>
      </c>
    </row>
    <row r="313" spans="1:15" x14ac:dyDescent="0.2">
      <c r="A313">
        <f>获奖信息!A311</f>
        <v>0</v>
      </c>
      <c r="B313">
        <f>获奖信息!B311</f>
        <v>0</v>
      </c>
      <c r="C313">
        <f>获奖信息!C311</f>
        <v>0</v>
      </c>
      <c r="D313">
        <f>获奖信息!D311</f>
        <v>0</v>
      </c>
      <c r="E313">
        <f>获奖信息!E311</f>
        <v>0</v>
      </c>
      <c r="F313">
        <f>获奖信息!F311</f>
        <v>0</v>
      </c>
      <c r="G313">
        <f>获奖信息!G311</f>
        <v>0</v>
      </c>
      <c r="H313">
        <f>获奖信息!H311</f>
        <v>0</v>
      </c>
      <c r="I313">
        <f>获奖信息!I311</f>
        <v>0</v>
      </c>
      <c r="J313">
        <f>获奖信息!J311</f>
        <v>0</v>
      </c>
      <c r="K313">
        <f>获奖信息!K311</f>
        <v>0</v>
      </c>
      <c r="L313">
        <f>获奖信息!L311</f>
        <v>0</v>
      </c>
      <c r="M313">
        <f>获奖信息!M311</f>
        <v>0</v>
      </c>
      <c r="N313">
        <f>获奖信息!N311</f>
        <v>0</v>
      </c>
      <c r="O313">
        <f>获奖信息!O311</f>
        <v>0</v>
      </c>
    </row>
    <row r="314" spans="1:15" x14ac:dyDescent="0.2">
      <c r="A314">
        <f>获奖信息!A312</f>
        <v>0</v>
      </c>
      <c r="B314">
        <f>获奖信息!B312</f>
        <v>0</v>
      </c>
      <c r="C314">
        <f>获奖信息!C312</f>
        <v>0</v>
      </c>
      <c r="D314">
        <f>获奖信息!D312</f>
        <v>0</v>
      </c>
      <c r="E314">
        <f>获奖信息!E312</f>
        <v>0</v>
      </c>
      <c r="F314">
        <f>获奖信息!F312</f>
        <v>0</v>
      </c>
      <c r="G314">
        <f>获奖信息!G312</f>
        <v>0</v>
      </c>
      <c r="H314">
        <f>获奖信息!H312</f>
        <v>0</v>
      </c>
      <c r="I314">
        <f>获奖信息!I312</f>
        <v>0</v>
      </c>
      <c r="J314">
        <f>获奖信息!J312</f>
        <v>0</v>
      </c>
      <c r="K314">
        <f>获奖信息!K312</f>
        <v>0</v>
      </c>
      <c r="L314">
        <f>获奖信息!L312</f>
        <v>0</v>
      </c>
      <c r="M314">
        <f>获奖信息!M312</f>
        <v>0</v>
      </c>
      <c r="N314">
        <f>获奖信息!N312</f>
        <v>0</v>
      </c>
      <c r="O314">
        <f>获奖信息!O312</f>
        <v>0</v>
      </c>
    </row>
    <row r="315" spans="1:15" x14ac:dyDescent="0.2">
      <c r="A315">
        <f>获奖信息!A313</f>
        <v>0</v>
      </c>
      <c r="B315">
        <f>获奖信息!B313</f>
        <v>0</v>
      </c>
      <c r="C315">
        <f>获奖信息!C313</f>
        <v>0</v>
      </c>
      <c r="D315">
        <f>获奖信息!D313</f>
        <v>0</v>
      </c>
      <c r="E315">
        <f>获奖信息!E313</f>
        <v>0</v>
      </c>
      <c r="F315">
        <f>获奖信息!F313</f>
        <v>0</v>
      </c>
      <c r="G315">
        <f>获奖信息!G313</f>
        <v>0</v>
      </c>
      <c r="H315">
        <f>获奖信息!H313</f>
        <v>0</v>
      </c>
      <c r="I315">
        <f>获奖信息!I313</f>
        <v>0</v>
      </c>
      <c r="J315">
        <f>获奖信息!J313</f>
        <v>0</v>
      </c>
      <c r="K315">
        <f>获奖信息!K313</f>
        <v>0</v>
      </c>
      <c r="L315">
        <f>获奖信息!L313</f>
        <v>0</v>
      </c>
      <c r="M315">
        <f>获奖信息!M313</f>
        <v>0</v>
      </c>
      <c r="N315">
        <f>获奖信息!N313</f>
        <v>0</v>
      </c>
      <c r="O315">
        <f>获奖信息!O313</f>
        <v>0</v>
      </c>
    </row>
    <row r="316" spans="1:15" x14ac:dyDescent="0.2">
      <c r="A316">
        <f>获奖信息!A314</f>
        <v>0</v>
      </c>
      <c r="B316">
        <f>获奖信息!B314</f>
        <v>0</v>
      </c>
      <c r="C316">
        <f>获奖信息!C314</f>
        <v>0</v>
      </c>
      <c r="D316">
        <f>获奖信息!D314</f>
        <v>0</v>
      </c>
      <c r="E316">
        <f>获奖信息!E314</f>
        <v>0</v>
      </c>
      <c r="F316">
        <f>获奖信息!F314</f>
        <v>0</v>
      </c>
      <c r="G316">
        <f>获奖信息!G314</f>
        <v>0</v>
      </c>
      <c r="H316">
        <f>获奖信息!H314</f>
        <v>0</v>
      </c>
      <c r="I316">
        <f>获奖信息!I314</f>
        <v>0</v>
      </c>
      <c r="J316">
        <f>获奖信息!J314</f>
        <v>0</v>
      </c>
      <c r="K316">
        <f>获奖信息!K314</f>
        <v>0</v>
      </c>
      <c r="L316">
        <f>获奖信息!L314</f>
        <v>0</v>
      </c>
      <c r="M316">
        <f>获奖信息!M314</f>
        <v>0</v>
      </c>
      <c r="N316">
        <f>获奖信息!N314</f>
        <v>0</v>
      </c>
      <c r="O316">
        <f>获奖信息!O314</f>
        <v>0</v>
      </c>
    </row>
    <row r="317" spans="1:15" x14ac:dyDescent="0.2">
      <c r="A317">
        <f>获奖信息!A315</f>
        <v>0</v>
      </c>
      <c r="B317">
        <f>获奖信息!B315</f>
        <v>0</v>
      </c>
      <c r="C317">
        <f>获奖信息!C315</f>
        <v>0</v>
      </c>
      <c r="D317">
        <f>获奖信息!D315</f>
        <v>0</v>
      </c>
      <c r="E317">
        <f>获奖信息!E315</f>
        <v>0</v>
      </c>
      <c r="F317">
        <f>获奖信息!F315</f>
        <v>0</v>
      </c>
      <c r="G317">
        <f>获奖信息!G315</f>
        <v>0</v>
      </c>
      <c r="H317">
        <f>获奖信息!H315</f>
        <v>0</v>
      </c>
      <c r="I317">
        <f>获奖信息!I315</f>
        <v>0</v>
      </c>
      <c r="J317">
        <f>获奖信息!J315</f>
        <v>0</v>
      </c>
      <c r="K317">
        <f>获奖信息!K315</f>
        <v>0</v>
      </c>
      <c r="L317">
        <f>获奖信息!L315</f>
        <v>0</v>
      </c>
      <c r="M317">
        <f>获奖信息!M315</f>
        <v>0</v>
      </c>
      <c r="N317">
        <f>获奖信息!N315</f>
        <v>0</v>
      </c>
      <c r="O317">
        <f>获奖信息!O315</f>
        <v>0</v>
      </c>
    </row>
    <row r="318" spans="1:15" x14ac:dyDescent="0.2">
      <c r="A318">
        <f>获奖信息!A316</f>
        <v>0</v>
      </c>
      <c r="B318">
        <f>获奖信息!B316</f>
        <v>0</v>
      </c>
      <c r="C318">
        <f>获奖信息!C316</f>
        <v>0</v>
      </c>
      <c r="D318">
        <f>获奖信息!D316</f>
        <v>0</v>
      </c>
      <c r="E318">
        <f>获奖信息!E316</f>
        <v>0</v>
      </c>
      <c r="F318">
        <f>获奖信息!F316</f>
        <v>0</v>
      </c>
      <c r="G318">
        <f>获奖信息!G316</f>
        <v>0</v>
      </c>
      <c r="H318">
        <f>获奖信息!H316</f>
        <v>0</v>
      </c>
      <c r="I318">
        <f>获奖信息!I316</f>
        <v>0</v>
      </c>
      <c r="J318">
        <f>获奖信息!J316</f>
        <v>0</v>
      </c>
      <c r="K318">
        <f>获奖信息!K316</f>
        <v>0</v>
      </c>
      <c r="L318">
        <f>获奖信息!L316</f>
        <v>0</v>
      </c>
      <c r="M318">
        <f>获奖信息!M316</f>
        <v>0</v>
      </c>
      <c r="N318">
        <f>获奖信息!N316</f>
        <v>0</v>
      </c>
      <c r="O318">
        <f>获奖信息!O316</f>
        <v>0</v>
      </c>
    </row>
    <row r="319" spans="1:15" x14ac:dyDescent="0.2">
      <c r="A319">
        <f>获奖信息!A317</f>
        <v>0</v>
      </c>
      <c r="B319">
        <f>获奖信息!B317</f>
        <v>0</v>
      </c>
      <c r="C319">
        <f>获奖信息!C317</f>
        <v>0</v>
      </c>
      <c r="D319">
        <f>获奖信息!D317</f>
        <v>0</v>
      </c>
      <c r="E319">
        <f>获奖信息!E317</f>
        <v>0</v>
      </c>
      <c r="F319">
        <f>获奖信息!F317</f>
        <v>0</v>
      </c>
      <c r="G319">
        <f>获奖信息!G317</f>
        <v>0</v>
      </c>
      <c r="H319">
        <f>获奖信息!H317</f>
        <v>0</v>
      </c>
      <c r="I319">
        <f>获奖信息!I317</f>
        <v>0</v>
      </c>
      <c r="J319">
        <f>获奖信息!J317</f>
        <v>0</v>
      </c>
      <c r="K319">
        <f>获奖信息!K317</f>
        <v>0</v>
      </c>
      <c r="L319">
        <f>获奖信息!L317</f>
        <v>0</v>
      </c>
      <c r="M319">
        <f>获奖信息!M317</f>
        <v>0</v>
      </c>
      <c r="N319">
        <f>获奖信息!N317</f>
        <v>0</v>
      </c>
      <c r="O319">
        <f>获奖信息!O317</f>
        <v>0</v>
      </c>
    </row>
    <row r="320" spans="1:15" x14ac:dyDescent="0.2">
      <c r="A320">
        <f>获奖信息!A318</f>
        <v>0</v>
      </c>
      <c r="B320">
        <f>获奖信息!B318</f>
        <v>0</v>
      </c>
      <c r="C320">
        <f>获奖信息!C318</f>
        <v>0</v>
      </c>
      <c r="D320">
        <f>获奖信息!D318</f>
        <v>0</v>
      </c>
      <c r="E320">
        <f>获奖信息!E318</f>
        <v>0</v>
      </c>
      <c r="F320">
        <f>获奖信息!F318</f>
        <v>0</v>
      </c>
      <c r="G320">
        <f>获奖信息!G318</f>
        <v>0</v>
      </c>
      <c r="H320">
        <f>获奖信息!H318</f>
        <v>0</v>
      </c>
      <c r="I320">
        <f>获奖信息!I318</f>
        <v>0</v>
      </c>
      <c r="J320">
        <f>获奖信息!J318</f>
        <v>0</v>
      </c>
      <c r="K320">
        <f>获奖信息!K318</f>
        <v>0</v>
      </c>
      <c r="L320">
        <f>获奖信息!L318</f>
        <v>0</v>
      </c>
      <c r="M320">
        <f>获奖信息!M318</f>
        <v>0</v>
      </c>
      <c r="N320">
        <f>获奖信息!N318</f>
        <v>0</v>
      </c>
      <c r="O320">
        <f>获奖信息!O318</f>
        <v>0</v>
      </c>
    </row>
    <row r="321" spans="1:15" x14ac:dyDescent="0.2">
      <c r="A321">
        <f>获奖信息!A319</f>
        <v>0</v>
      </c>
      <c r="B321">
        <f>获奖信息!B319</f>
        <v>0</v>
      </c>
      <c r="C321">
        <f>获奖信息!C319</f>
        <v>0</v>
      </c>
      <c r="D321">
        <f>获奖信息!D319</f>
        <v>0</v>
      </c>
      <c r="E321">
        <f>获奖信息!E319</f>
        <v>0</v>
      </c>
      <c r="F321">
        <f>获奖信息!F319</f>
        <v>0</v>
      </c>
      <c r="G321">
        <f>获奖信息!G319</f>
        <v>0</v>
      </c>
      <c r="H321">
        <f>获奖信息!H319</f>
        <v>0</v>
      </c>
      <c r="I321">
        <f>获奖信息!I319</f>
        <v>0</v>
      </c>
      <c r="J321">
        <f>获奖信息!J319</f>
        <v>0</v>
      </c>
      <c r="K321">
        <f>获奖信息!K319</f>
        <v>0</v>
      </c>
      <c r="L321">
        <f>获奖信息!L319</f>
        <v>0</v>
      </c>
      <c r="M321">
        <f>获奖信息!M319</f>
        <v>0</v>
      </c>
      <c r="N321">
        <f>获奖信息!N319</f>
        <v>0</v>
      </c>
      <c r="O321">
        <f>获奖信息!O319</f>
        <v>0</v>
      </c>
    </row>
    <row r="322" spans="1:15" x14ac:dyDescent="0.2">
      <c r="A322">
        <f>获奖信息!A320</f>
        <v>0</v>
      </c>
      <c r="B322">
        <f>获奖信息!B320</f>
        <v>0</v>
      </c>
      <c r="C322">
        <f>获奖信息!C320</f>
        <v>0</v>
      </c>
      <c r="D322">
        <f>获奖信息!D320</f>
        <v>0</v>
      </c>
      <c r="E322">
        <f>获奖信息!E320</f>
        <v>0</v>
      </c>
      <c r="F322">
        <f>获奖信息!F320</f>
        <v>0</v>
      </c>
      <c r="G322">
        <f>获奖信息!G320</f>
        <v>0</v>
      </c>
      <c r="H322">
        <f>获奖信息!H320</f>
        <v>0</v>
      </c>
      <c r="I322">
        <f>获奖信息!I320</f>
        <v>0</v>
      </c>
      <c r="J322">
        <f>获奖信息!J320</f>
        <v>0</v>
      </c>
      <c r="K322">
        <f>获奖信息!K320</f>
        <v>0</v>
      </c>
      <c r="L322">
        <f>获奖信息!L320</f>
        <v>0</v>
      </c>
      <c r="M322">
        <f>获奖信息!M320</f>
        <v>0</v>
      </c>
      <c r="N322">
        <f>获奖信息!N320</f>
        <v>0</v>
      </c>
      <c r="O322">
        <f>获奖信息!O320</f>
        <v>0</v>
      </c>
    </row>
    <row r="323" spans="1:15" x14ac:dyDescent="0.2">
      <c r="A323">
        <f>获奖信息!A321</f>
        <v>0</v>
      </c>
      <c r="B323">
        <f>获奖信息!B321</f>
        <v>0</v>
      </c>
      <c r="C323">
        <f>获奖信息!C321</f>
        <v>0</v>
      </c>
      <c r="D323">
        <f>获奖信息!D321</f>
        <v>0</v>
      </c>
      <c r="E323">
        <f>获奖信息!E321</f>
        <v>0</v>
      </c>
      <c r="F323">
        <f>获奖信息!F321</f>
        <v>0</v>
      </c>
      <c r="G323">
        <f>获奖信息!G321</f>
        <v>0</v>
      </c>
      <c r="H323">
        <f>获奖信息!H321</f>
        <v>0</v>
      </c>
      <c r="I323">
        <f>获奖信息!I321</f>
        <v>0</v>
      </c>
      <c r="J323">
        <f>获奖信息!J321</f>
        <v>0</v>
      </c>
      <c r="K323">
        <f>获奖信息!K321</f>
        <v>0</v>
      </c>
      <c r="L323">
        <f>获奖信息!L321</f>
        <v>0</v>
      </c>
      <c r="M323">
        <f>获奖信息!M321</f>
        <v>0</v>
      </c>
      <c r="N323">
        <f>获奖信息!N321</f>
        <v>0</v>
      </c>
      <c r="O323">
        <f>获奖信息!O321</f>
        <v>0</v>
      </c>
    </row>
    <row r="324" spans="1:15" x14ac:dyDescent="0.2">
      <c r="A324">
        <f>获奖信息!A322</f>
        <v>0</v>
      </c>
      <c r="B324">
        <f>获奖信息!B322</f>
        <v>0</v>
      </c>
      <c r="C324">
        <f>获奖信息!C322</f>
        <v>0</v>
      </c>
      <c r="D324">
        <f>获奖信息!D322</f>
        <v>0</v>
      </c>
      <c r="E324">
        <f>获奖信息!E322</f>
        <v>0</v>
      </c>
      <c r="F324">
        <f>获奖信息!F322</f>
        <v>0</v>
      </c>
      <c r="G324">
        <f>获奖信息!G322</f>
        <v>0</v>
      </c>
      <c r="H324">
        <f>获奖信息!H322</f>
        <v>0</v>
      </c>
      <c r="I324">
        <f>获奖信息!I322</f>
        <v>0</v>
      </c>
      <c r="J324">
        <f>获奖信息!J322</f>
        <v>0</v>
      </c>
      <c r="K324">
        <f>获奖信息!K322</f>
        <v>0</v>
      </c>
      <c r="L324">
        <f>获奖信息!L322</f>
        <v>0</v>
      </c>
      <c r="M324">
        <f>获奖信息!M322</f>
        <v>0</v>
      </c>
      <c r="N324">
        <f>获奖信息!N322</f>
        <v>0</v>
      </c>
      <c r="O324">
        <f>获奖信息!O322</f>
        <v>0</v>
      </c>
    </row>
    <row r="325" spans="1:15" x14ac:dyDescent="0.2">
      <c r="A325">
        <f>获奖信息!A323</f>
        <v>0</v>
      </c>
      <c r="B325">
        <f>获奖信息!B323</f>
        <v>0</v>
      </c>
      <c r="C325">
        <f>获奖信息!C323</f>
        <v>0</v>
      </c>
      <c r="D325">
        <f>获奖信息!D323</f>
        <v>0</v>
      </c>
      <c r="E325">
        <f>获奖信息!E323</f>
        <v>0</v>
      </c>
      <c r="F325">
        <f>获奖信息!F323</f>
        <v>0</v>
      </c>
      <c r="G325">
        <f>获奖信息!G323</f>
        <v>0</v>
      </c>
      <c r="H325">
        <f>获奖信息!H323</f>
        <v>0</v>
      </c>
      <c r="I325">
        <f>获奖信息!I323</f>
        <v>0</v>
      </c>
      <c r="J325">
        <f>获奖信息!J323</f>
        <v>0</v>
      </c>
      <c r="K325">
        <f>获奖信息!K323</f>
        <v>0</v>
      </c>
      <c r="L325">
        <f>获奖信息!L323</f>
        <v>0</v>
      </c>
      <c r="M325">
        <f>获奖信息!M323</f>
        <v>0</v>
      </c>
      <c r="N325">
        <f>获奖信息!N323</f>
        <v>0</v>
      </c>
      <c r="O325">
        <f>获奖信息!O323</f>
        <v>0</v>
      </c>
    </row>
    <row r="326" spans="1:15" x14ac:dyDescent="0.2">
      <c r="A326">
        <f>获奖信息!A324</f>
        <v>0</v>
      </c>
      <c r="B326">
        <f>获奖信息!B324</f>
        <v>0</v>
      </c>
      <c r="C326">
        <f>获奖信息!C324</f>
        <v>0</v>
      </c>
      <c r="D326">
        <f>获奖信息!D324</f>
        <v>0</v>
      </c>
      <c r="E326">
        <f>获奖信息!E324</f>
        <v>0</v>
      </c>
      <c r="F326">
        <f>获奖信息!F324</f>
        <v>0</v>
      </c>
      <c r="G326">
        <f>获奖信息!G324</f>
        <v>0</v>
      </c>
      <c r="H326">
        <f>获奖信息!H324</f>
        <v>0</v>
      </c>
      <c r="I326">
        <f>获奖信息!I324</f>
        <v>0</v>
      </c>
      <c r="J326">
        <f>获奖信息!J324</f>
        <v>0</v>
      </c>
      <c r="K326">
        <f>获奖信息!K324</f>
        <v>0</v>
      </c>
      <c r="L326">
        <f>获奖信息!L324</f>
        <v>0</v>
      </c>
      <c r="M326">
        <f>获奖信息!M324</f>
        <v>0</v>
      </c>
      <c r="N326">
        <f>获奖信息!N324</f>
        <v>0</v>
      </c>
      <c r="O326">
        <f>获奖信息!O324</f>
        <v>0</v>
      </c>
    </row>
    <row r="327" spans="1:15" x14ac:dyDescent="0.2">
      <c r="A327">
        <f>获奖信息!A325</f>
        <v>0</v>
      </c>
      <c r="B327">
        <f>获奖信息!B325</f>
        <v>0</v>
      </c>
      <c r="C327">
        <f>获奖信息!C325</f>
        <v>0</v>
      </c>
      <c r="D327">
        <f>获奖信息!D325</f>
        <v>0</v>
      </c>
      <c r="E327">
        <f>获奖信息!E325</f>
        <v>0</v>
      </c>
      <c r="F327">
        <f>获奖信息!F325</f>
        <v>0</v>
      </c>
      <c r="G327">
        <f>获奖信息!G325</f>
        <v>0</v>
      </c>
      <c r="H327">
        <f>获奖信息!H325</f>
        <v>0</v>
      </c>
      <c r="I327">
        <f>获奖信息!I325</f>
        <v>0</v>
      </c>
      <c r="J327">
        <f>获奖信息!J325</f>
        <v>0</v>
      </c>
      <c r="K327">
        <f>获奖信息!K325</f>
        <v>0</v>
      </c>
      <c r="L327">
        <f>获奖信息!L325</f>
        <v>0</v>
      </c>
      <c r="M327">
        <f>获奖信息!M325</f>
        <v>0</v>
      </c>
      <c r="N327">
        <f>获奖信息!N325</f>
        <v>0</v>
      </c>
      <c r="O327">
        <f>获奖信息!O325</f>
        <v>0</v>
      </c>
    </row>
    <row r="328" spans="1:15" x14ac:dyDescent="0.2">
      <c r="A328">
        <f>获奖信息!A326</f>
        <v>0</v>
      </c>
      <c r="B328">
        <f>获奖信息!B326</f>
        <v>0</v>
      </c>
      <c r="C328">
        <f>获奖信息!C326</f>
        <v>0</v>
      </c>
      <c r="D328">
        <f>获奖信息!D326</f>
        <v>0</v>
      </c>
      <c r="E328">
        <f>获奖信息!E326</f>
        <v>0</v>
      </c>
      <c r="F328">
        <f>获奖信息!F326</f>
        <v>0</v>
      </c>
      <c r="G328">
        <f>获奖信息!G326</f>
        <v>0</v>
      </c>
      <c r="H328">
        <f>获奖信息!H326</f>
        <v>0</v>
      </c>
      <c r="I328">
        <f>获奖信息!I326</f>
        <v>0</v>
      </c>
      <c r="J328">
        <f>获奖信息!J326</f>
        <v>0</v>
      </c>
      <c r="K328">
        <f>获奖信息!K326</f>
        <v>0</v>
      </c>
      <c r="L328">
        <f>获奖信息!L326</f>
        <v>0</v>
      </c>
      <c r="M328">
        <f>获奖信息!M326</f>
        <v>0</v>
      </c>
      <c r="N328">
        <f>获奖信息!N326</f>
        <v>0</v>
      </c>
      <c r="O328">
        <f>获奖信息!O326</f>
        <v>0</v>
      </c>
    </row>
    <row r="329" spans="1:15" x14ac:dyDescent="0.2">
      <c r="A329">
        <f>获奖信息!A327</f>
        <v>0</v>
      </c>
      <c r="B329">
        <f>获奖信息!B327</f>
        <v>0</v>
      </c>
      <c r="C329">
        <f>获奖信息!C327</f>
        <v>0</v>
      </c>
      <c r="D329">
        <f>获奖信息!D327</f>
        <v>0</v>
      </c>
      <c r="E329">
        <f>获奖信息!E327</f>
        <v>0</v>
      </c>
      <c r="F329">
        <f>获奖信息!F327</f>
        <v>0</v>
      </c>
      <c r="G329">
        <f>获奖信息!G327</f>
        <v>0</v>
      </c>
      <c r="H329">
        <f>获奖信息!H327</f>
        <v>0</v>
      </c>
      <c r="I329">
        <f>获奖信息!I327</f>
        <v>0</v>
      </c>
      <c r="J329">
        <f>获奖信息!J327</f>
        <v>0</v>
      </c>
      <c r="K329">
        <f>获奖信息!K327</f>
        <v>0</v>
      </c>
      <c r="L329">
        <f>获奖信息!L327</f>
        <v>0</v>
      </c>
      <c r="M329">
        <f>获奖信息!M327</f>
        <v>0</v>
      </c>
      <c r="N329">
        <f>获奖信息!N327</f>
        <v>0</v>
      </c>
      <c r="O329">
        <f>获奖信息!O327</f>
        <v>0</v>
      </c>
    </row>
    <row r="330" spans="1:15" x14ac:dyDescent="0.2">
      <c r="A330">
        <f>获奖信息!A328</f>
        <v>0</v>
      </c>
      <c r="B330">
        <f>获奖信息!B328</f>
        <v>0</v>
      </c>
      <c r="C330">
        <f>获奖信息!C328</f>
        <v>0</v>
      </c>
      <c r="D330">
        <f>获奖信息!D328</f>
        <v>0</v>
      </c>
      <c r="E330">
        <f>获奖信息!E328</f>
        <v>0</v>
      </c>
      <c r="F330">
        <f>获奖信息!F328</f>
        <v>0</v>
      </c>
      <c r="G330">
        <f>获奖信息!G328</f>
        <v>0</v>
      </c>
      <c r="H330">
        <f>获奖信息!H328</f>
        <v>0</v>
      </c>
      <c r="I330">
        <f>获奖信息!I328</f>
        <v>0</v>
      </c>
      <c r="J330">
        <f>获奖信息!J328</f>
        <v>0</v>
      </c>
      <c r="K330">
        <f>获奖信息!K328</f>
        <v>0</v>
      </c>
      <c r="L330">
        <f>获奖信息!L328</f>
        <v>0</v>
      </c>
      <c r="M330">
        <f>获奖信息!M328</f>
        <v>0</v>
      </c>
      <c r="N330">
        <f>获奖信息!N328</f>
        <v>0</v>
      </c>
      <c r="O330">
        <f>获奖信息!O328</f>
        <v>0</v>
      </c>
    </row>
    <row r="331" spans="1:15" x14ac:dyDescent="0.2">
      <c r="A331">
        <f>获奖信息!A329</f>
        <v>0</v>
      </c>
      <c r="B331">
        <f>获奖信息!B329</f>
        <v>0</v>
      </c>
      <c r="C331">
        <f>获奖信息!C329</f>
        <v>0</v>
      </c>
      <c r="D331">
        <f>获奖信息!D329</f>
        <v>0</v>
      </c>
      <c r="E331">
        <f>获奖信息!E329</f>
        <v>0</v>
      </c>
      <c r="F331">
        <f>获奖信息!F329</f>
        <v>0</v>
      </c>
      <c r="G331">
        <f>获奖信息!G329</f>
        <v>0</v>
      </c>
      <c r="H331">
        <f>获奖信息!H329</f>
        <v>0</v>
      </c>
      <c r="I331">
        <f>获奖信息!I329</f>
        <v>0</v>
      </c>
      <c r="J331">
        <f>获奖信息!J329</f>
        <v>0</v>
      </c>
      <c r="K331">
        <f>获奖信息!K329</f>
        <v>0</v>
      </c>
      <c r="L331">
        <f>获奖信息!L329</f>
        <v>0</v>
      </c>
      <c r="M331">
        <f>获奖信息!M329</f>
        <v>0</v>
      </c>
      <c r="N331">
        <f>获奖信息!N329</f>
        <v>0</v>
      </c>
      <c r="O331">
        <f>获奖信息!O329</f>
        <v>0</v>
      </c>
    </row>
    <row r="332" spans="1:15" x14ac:dyDescent="0.2">
      <c r="A332">
        <f>获奖信息!A330</f>
        <v>0</v>
      </c>
      <c r="B332">
        <f>获奖信息!B330</f>
        <v>0</v>
      </c>
      <c r="C332">
        <f>获奖信息!C330</f>
        <v>0</v>
      </c>
      <c r="D332">
        <f>获奖信息!D330</f>
        <v>0</v>
      </c>
      <c r="E332">
        <f>获奖信息!E330</f>
        <v>0</v>
      </c>
      <c r="F332">
        <f>获奖信息!F330</f>
        <v>0</v>
      </c>
      <c r="G332">
        <f>获奖信息!G330</f>
        <v>0</v>
      </c>
      <c r="H332">
        <f>获奖信息!H330</f>
        <v>0</v>
      </c>
      <c r="I332">
        <f>获奖信息!I330</f>
        <v>0</v>
      </c>
      <c r="J332">
        <f>获奖信息!J330</f>
        <v>0</v>
      </c>
      <c r="K332">
        <f>获奖信息!K330</f>
        <v>0</v>
      </c>
      <c r="L332">
        <f>获奖信息!L330</f>
        <v>0</v>
      </c>
      <c r="M332">
        <f>获奖信息!M330</f>
        <v>0</v>
      </c>
      <c r="N332">
        <f>获奖信息!N330</f>
        <v>0</v>
      </c>
      <c r="O332">
        <f>获奖信息!O330</f>
        <v>0</v>
      </c>
    </row>
    <row r="333" spans="1:15" x14ac:dyDescent="0.2">
      <c r="A333">
        <f>获奖信息!A331</f>
        <v>0</v>
      </c>
      <c r="B333">
        <f>获奖信息!B331</f>
        <v>0</v>
      </c>
      <c r="C333">
        <f>获奖信息!C331</f>
        <v>0</v>
      </c>
      <c r="D333">
        <f>获奖信息!D331</f>
        <v>0</v>
      </c>
      <c r="E333">
        <f>获奖信息!E331</f>
        <v>0</v>
      </c>
      <c r="F333">
        <f>获奖信息!F331</f>
        <v>0</v>
      </c>
      <c r="G333">
        <f>获奖信息!G331</f>
        <v>0</v>
      </c>
      <c r="H333">
        <f>获奖信息!H331</f>
        <v>0</v>
      </c>
      <c r="I333">
        <f>获奖信息!I331</f>
        <v>0</v>
      </c>
      <c r="J333">
        <f>获奖信息!J331</f>
        <v>0</v>
      </c>
      <c r="K333">
        <f>获奖信息!K331</f>
        <v>0</v>
      </c>
      <c r="L333">
        <f>获奖信息!L331</f>
        <v>0</v>
      </c>
      <c r="M333">
        <f>获奖信息!M331</f>
        <v>0</v>
      </c>
      <c r="N333">
        <f>获奖信息!N331</f>
        <v>0</v>
      </c>
      <c r="O333">
        <f>获奖信息!O331</f>
        <v>0</v>
      </c>
    </row>
    <row r="334" spans="1:15" x14ac:dyDescent="0.2">
      <c r="A334">
        <f>获奖信息!A332</f>
        <v>0</v>
      </c>
      <c r="B334">
        <f>获奖信息!B332</f>
        <v>0</v>
      </c>
      <c r="C334">
        <f>获奖信息!C332</f>
        <v>0</v>
      </c>
      <c r="D334">
        <f>获奖信息!D332</f>
        <v>0</v>
      </c>
      <c r="E334">
        <f>获奖信息!E332</f>
        <v>0</v>
      </c>
      <c r="F334">
        <f>获奖信息!F332</f>
        <v>0</v>
      </c>
      <c r="G334">
        <f>获奖信息!G332</f>
        <v>0</v>
      </c>
      <c r="H334">
        <f>获奖信息!H332</f>
        <v>0</v>
      </c>
      <c r="I334">
        <f>获奖信息!I332</f>
        <v>0</v>
      </c>
      <c r="J334">
        <f>获奖信息!J332</f>
        <v>0</v>
      </c>
      <c r="K334">
        <f>获奖信息!K332</f>
        <v>0</v>
      </c>
      <c r="L334">
        <f>获奖信息!L332</f>
        <v>0</v>
      </c>
      <c r="M334">
        <f>获奖信息!M332</f>
        <v>0</v>
      </c>
      <c r="N334">
        <f>获奖信息!N332</f>
        <v>0</v>
      </c>
      <c r="O334">
        <f>获奖信息!O332</f>
        <v>0</v>
      </c>
    </row>
    <row r="335" spans="1:15" x14ac:dyDescent="0.2">
      <c r="A335">
        <f>获奖信息!A333</f>
        <v>0</v>
      </c>
      <c r="B335">
        <f>获奖信息!B333</f>
        <v>0</v>
      </c>
      <c r="C335">
        <f>获奖信息!C333</f>
        <v>0</v>
      </c>
      <c r="D335">
        <f>获奖信息!D333</f>
        <v>0</v>
      </c>
      <c r="E335">
        <f>获奖信息!E333</f>
        <v>0</v>
      </c>
      <c r="F335">
        <f>获奖信息!F333</f>
        <v>0</v>
      </c>
      <c r="G335">
        <f>获奖信息!G333</f>
        <v>0</v>
      </c>
      <c r="H335">
        <f>获奖信息!H333</f>
        <v>0</v>
      </c>
      <c r="I335">
        <f>获奖信息!I333</f>
        <v>0</v>
      </c>
      <c r="J335">
        <f>获奖信息!J333</f>
        <v>0</v>
      </c>
      <c r="K335">
        <f>获奖信息!K333</f>
        <v>0</v>
      </c>
      <c r="L335">
        <f>获奖信息!L333</f>
        <v>0</v>
      </c>
      <c r="M335">
        <f>获奖信息!M333</f>
        <v>0</v>
      </c>
      <c r="N335">
        <f>获奖信息!N333</f>
        <v>0</v>
      </c>
      <c r="O335">
        <f>获奖信息!O333</f>
        <v>0</v>
      </c>
    </row>
    <row r="336" spans="1:15" x14ac:dyDescent="0.2">
      <c r="A336">
        <f>获奖信息!A334</f>
        <v>0</v>
      </c>
      <c r="B336">
        <f>获奖信息!B334</f>
        <v>0</v>
      </c>
      <c r="C336">
        <f>获奖信息!C334</f>
        <v>0</v>
      </c>
      <c r="D336">
        <f>获奖信息!D334</f>
        <v>0</v>
      </c>
      <c r="E336">
        <f>获奖信息!E334</f>
        <v>0</v>
      </c>
      <c r="F336">
        <f>获奖信息!F334</f>
        <v>0</v>
      </c>
      <c r="G336">
        <f>获奖信息!G334</f>
        <v>0</v>
      </c>
      <c r="H336">
        <f>获奖信息!H334</f>
        <v>0</v>
      </c>
      <c r="I336">
        <f>获奖信息!I334</f>
        <v>0</v>
      </c>
      <c r="J336">
        <f>获奖信息!J334</f>
        <v>0</v>
      </c>
      <c r="K336">
        <f>获奖信息!K334</f>
        <v>0</v>
      </c>
      <c r="L336">
        <f>获奖信息!L334</f>
        <v>0</v>
      </c>
      <c r="M336">
        <f>获奖信息!M334</f>
        <v>0</v>
      </c>
      <c r="N336">
        <f>获奖信息!N334</f>
        <v>0</v>
      </c>
      <c r="O336">
        <f>获奖信息!O334</f>
        <v>0</v>
      </c>
    </row>
    <row r="337" spans="1:15" x14ac:dyDescent="0.2">
      <c r="A337">
        <f>获奖信息!A335</f>
        <v>0</v>
      </c>
      <c r="B337">
        <f>获奖信息!B335</f>
        <v>0</v>
      </c>
      <c r="C337">
        <f>获奖信息!C335</f>
        <v>0</v>
      </c>
      <c r="D337">
        <f>获奖信息!D335</f>
        <v>0</v>
      </c>
      <c r="E337">
        <f>获奖信息!E335</f>
        <v>0</v>
      </c>
      <c r="F337">
        <f>获奖信息!F335</f>
        <v>0</v>
      </c>
      <c r="G337">
        <f>获奖信息!G335</f>
        <v>0</v>
      </c>
      <c r="H337">
        <f>获奖信息!H335</f>
        <v>0</v>
      </c>
      <c r="I337">
        <f>获奖信息!I335</f>
        <v>0</v>
      </c>
      <c r="J337">
        <f>获奖信息!J335</f>
        <v>0</v>
      </c>
      <c r="K337">
        <f>获奖信息!K335</f>
        <v>0</v>
      </c>
      <c r="L337">
        <f>获奖信息!L335</f>
        <v>0</v>
      </c>
      <c r="M337">
        <f>获奖信息!M335</f>
        <v>0</v>
      </c>
      <c r="N337">
        <f>获奖信息!N335</f>
        <v>0</v>
      </c>
      <c r="O337">
        <f>获奖信息!O335</f>
        <v>0</v>
      </c>
    </row>
    <row r="338" spans="1:15" x14ac:dyDescent="0.2">
      <c r="A338">
        <f>获奖信息!A336</f>
        <v>0</v>
      </c>
      <c r="B338">
        <f>获奖信息!B336</f>
        <v>0</v>
      </c>
      <c r="C338">
        <f>获奖信息!C336</f>
        <v>0</v>
      </c>
      <c r="D338">
        <f>获奖信息!D336</f>
        <v>0</v>
      </c>
      <c r="E338">
        <f>获奖信息!E336</f>
        <v>0</v>
      </c>
      <c r="F338">
        <f>获奖信息!F336</f>
        <v>0</v>
      </c>
      <c r="G338">
        <f>获奖信息!G336</f>
        <v>0</v>
      </c>
      <c r="H338">
        <f>获奖信息!H336</f>
        <v>0</v>
      </c>
      <c r="I338">
        <f>获奖信息!I336</f>
        <v>0</v>
      </c>
      <c r="J338">
        <f>获奖信息!J336</f>
        <v>0</v>
      </c>
      <c r="K338">
        <f>获奖信息!K336</f>
        <v>0</v>
      </c>
      <c r="L338">
        <f>获奖信息!L336</f>
        <v>0</v>
      </c>
      <c r="M338">
        <f>获奖信息!M336</f>
        <v>0</v>
      </c>
      <c r="N338">
        <f>获奖信息!N336</f>
        <v>0</v>
      </c>
      <c r="O338">
        <f>获奖信息!O336</f>
        <v>0</v>
      </c>
    </row>
    <row r="339" spans="1:15" x14ac:dyDescent="0.2">
      <c r="A339">
        <f>获奖信息!A337</f>
        <v>0</v>
      </c>
      <c r="B339">
        <f>获奖信息!B337</f>
        <v>0</v>
      </c>
      <c r="C339">
        <f>获奖信息!C337</f>
        <v>0</v>
      </c>
      <c r="D339">
        <f>获奖信息!D337</f>
        <v>0</v>
      </c>
      <c r="E339">
        <f>获奖信息!E337</f>
        <v>0</v>
      </c>
      <c r="F339">
        <f>获奖信息!F337</f>
        <v>0</v>
      </c>
      <c r="G339">
        <f>获奖信息!G337</f>
        <v>0</v>
      </c>
      <c r="H339">
        <f>获奖信息!H337</f>
        <v>0</v>
      </c>
      <c r="I339">
        <f>获奖信息!I337</f>
        <v>0</v>
      </c>
      <c r="J339">
        <f>获奖信息!J337</f>
        <v>0</v>
      </c>
      <c r="K339">
        <f>获奖信息!K337</f>
        <v>0</v>
      </c>
      <c r="L339">
        <f>获奖信息!L337</f>
        <v>0</v>
      </c>
      <c r="M339">
        <f>获奖信息!M337</f>
        <v>0</v>
      </c>
      <c r="N339">
        <f>获奖信息!N337</f>
        <v>0</v>
      </c>
      <c r="O339">
        <f>获奖信息!O337</f>
        <v>0</v>
      </c>
    </row>
    <row r="340" spans="1:15" x14ac:dyDescent="0.2">
      <c r="A340">
        <f>获奖信息!A338</f>
        <v>0</v>
      </c>
      <c r="B340">
        <f>获奖信息!B338</f>
        <v>0</v>
      </c>
      <c r="C340">
        <f>获奖信息!C338</f>
        <v>0</v>
      </c>
      <c r="D340">
        <f>获奖信息!D338</f>
        <v>0</v>
      </c>
      <c r="E340">
        <f>获奖信息!E338</f>
        <v>0</v>
      </c>
      <c r="F340">
        <f>获奖信息!F338</f>
        <v>0</v>
      </c>
      <c r="G340">
        <f>获奖信息!G338</f>
        <v>0</v>
      </c>
      <c r="H340">
        <f>获奖信息!H338</f>
        <v>0</v>
      </c>
      <c r="I340">
        <f>获奖信息!I338</f>
        <v>0</v>
      </c>
      <c r="J340">
        <f>获奖信息!J338</f>
        <v>0</v>
      </c>
      <c r="K340">
        <f>获奖信息!K338</f>
        <v>0</v>
      </c>
      <c r="L340">
        <f>获奖信息!L338</f>
        <v>0</v>
      </c>
      <c r="M340">
        <f>获奖信息!M338</f>
        <v>0</v>
      </c>
      <c r="N340">
        <f>获奖信息!N338</f>
        <v>0</v>
      </c>
      <c r="O340">
        <f>获奖信息!O338</f>
        <v>0</v>
      </c>
    </row>
    <row r="341" spans="1:15" x14ac:dyDescent="0.2">
      <c r="A341">
        <f>获奖信息!A339</f>
        <v>0</v>
      </c>
      <c r="B341">
        <f>获奖信息!B339</f>
        <v>0</v>
      </c>
      <c r="C341">
        <f>获奖信息!C339</f>
        <v>0</v>
      </c>
      <c r="D341">
        <f>获奖信息!D339</f>
        <v>0</v>
      </c>
      <c r="E341">
        <f>获奖信息!E339</f>
        <v>0</v>
      </c>
      <c r="F341">
        <f>获奖信息!F339</f>
        <v>0</v>
      </c>
      <c r="G341">
        <f>获奖信息!G339</f>
        <v>0</v>
      </c>
      <c r="H341">
        <f>获奖信息!H339</f>
        <v>0</v>
      </c>
      <c r="I341">
        <f>获奖信息!I339</f>
        <v>0</v>
      </c>
      <c r="J341">
        <f>获奖信息!J339</f>
        <v>0</v>
      </c>
      <c r="K341">
        <f>获奖信息!K339</f>
        <v>0</v>
      </c>
      <c r="L341">
        <f>获奖信息!L339</f>
        <v>0</v>
      </c>
      <c r="M341">
        <f>获奖信息!M339</f>
        <v>0</v>
      </c>
      <c r="N341">
        <f>获奖信息!N339</f>
        <v>0</v>
      </c>
      <c r="O341">
        <f>获奖信息!O339</f>
        <v>0</v>
      </c>
    </row>
    <row r="342" spans="1:15" x14ac:dyDescent="0.2">
      <c r="A342">
        <f>获奖信息!A340</f>
        <v>0</v>
      </c>
      <c r="B342">
        <f>获奖信息!B340</f>
        <v>0</v>
      </c>
      <c r="C342">
        <f>获奖信息!C340</f>
        <v>0</v>
      </c>
      <c r="D342">
        <f>获奖信息!D340</f>
        <v>0</v>
      </c>
      <c r="E342">
        <f>获奖信息!E340</f>
        <v>0</v>
      </c>
      <c r="F342">
        <f>获奖信息!F340</f>
        <v>0</v>
      </c>
      <c r="G342">
        <f>获奖信息!G340</f>
        <v>0</v>
      </c>
      <c r="H342">
        <f>获奖信息!H340</f>
        <v>0</v>
      </c>
      <c r="I342">
        <f>获奖信息!I340</f>
        <v>0</v>
      </c>
      <c r="J342">
        <f>获奖信息!J340</f>
        <v>0</v>
      </c>
      <c r="K342">
        <f>获奖信息!K340</f>
        <v>0</v>
      </c>
      <c r="L342">
        <f>获奖信息!L340</f>
        <v>0</v>
      </c>
      <c r="M342">
        <f>获奖信息!M340</f>
        <v>0</v>
      </c>
      <c r="N342">
        <f>获奖信息!N340</f>
        <v>0</v>
      </c>
      <c r="O342">
        <f>获奖信息!O340</f>
        <v>0</v>
      </c>
    </row>
    <row r="343" spans="1:15" x14ac:dyDescent="0.2">
      <c r="A343">
        <f>获奖信息!A341</f>
        <v>0</v>
      </c>
      <c r="B343">
        <f>获奖信息!B341</f>
        <v>0</v>
      </c>
      <c r="C343">
        <f>获奖信息!C341</f>
        <v>0</v>
      </c>
      <c r="D343">
        <f>获奖信息!D341</f>
        <v>0</v>
      </c>
      <c r="E343">
        <f>获奖信息!E341</f>
        <v>0</v>
      </c>
      <c r="F343">
        <f>获奖信息!F341</f>
        <v>0</v>
      </c>
      <c r="G343">
        <f>获奖信息!G341</f>
        <v>0</v>
      </c>
      <c r="H343">
        <f>获奖信息!H341</f>
        <v>0</v>
      </c>
      <c r="I343">
        <f>获奖信息!I341</f>
        <v>0</v>
      </c>
      <c r="J343">
        <f>获奖信息!J341</f>
        <v>0</v>
      </c>
      <c r="K343">
        <f>获奖信息!K341</f>
        <v>0</v>
      </c>
      <c r="L343">
        <f>获奖信息!L341</f>
        <v>0</v>
      </c>
      <c r="M343">
        <f>获奖信息!M341</f>
        <v>0</v>
      </c>
      <c r="N343">
        <f>获奖信息!N341</f>
        <v>0</v>
      </c>
      <c r="O343">
        <f>获奖信息!O341</f>
        <v>0</v>
      </c>
    </row>
    <row r="344" spans="1:15" x14ac:dyDescent="0.2">
      <c r="A344">
        <f>获奖信息!A342</f>
        <v>0</v>
      </c>
      <c r="B344">
        <f>获奖信息!B342</f>
        <v>0</v>
      </c>
      <c r="C344">
        <f>获奖信息!C342</f>
        <v>0</v>
      </c>
      <c r="D344">
        <f>获奖信息!D342</f>
        <v>0</v>
      </c>
      <c r="E344">
        <f>获奖信息!E342</f>
        <v>0</v>
      </c>
      <c r="F344">
        <f>获奖信息!F342</f>
        <v>0</v>
      </c>
      <c r="G344">
        <f>获奖信息!G342</f>
        <v>0</v>
      </c>
      <c r="H344">
        <f>获奖信息!H342</f>
        <v>0</v>
      </c>
      <c r="I344">
        <f>获奖信息!I342</f>
        <v>0</v>
      </c>
      <c r="J344">
        <f>获奖信息!J342</f>
        <v>0</v>
      </c>
      <c r="K344">
        <f>获奖信息!K342</f>
        <v>0</v>
      </c>
      <c r="L344">
        <f>获奖信息!L342</f>
        <v>0</v>
      </c>
      <c r="M344">
        <f>获奖信息!M342</f>
        <v>0</v>
      </c>
      <c r="N344">
        <f>获奖信息!N342</f>
        <v>0</v>
      </c>
      <c r="O344">
        <f>获奖信息!O342</f>
        <v>0</v>
      </c>
    </row>
    <row r="345" spans="1:15" x14ac:dyDescent="0.2">
      <c r="A345">
        <f>获奖信息!A343</f>
        <v>0</v>
      </c>
      <c r="B345">
        <f>获奖信息!B343</f>
        <v>0</v>
      </c>
      <c r="C345">
        <f>获奖信息!C343</f>
        <v>0</v>
      </c>
      <c r="D345">
        <f>获奖信息!D343</f>
        <v>0</v>
      </c>
      <c r="E345">
        <f>获奖信息!E343</f>
        <v>0</v>
      </c>
      <c r="F345">
        <f>获奖信息!F343</f>
        <v>0</v>
      </c>
      <c r="G345">
        <f>获奖信息!G343</f>
        <v>0</v>
      </c>
      <c r="H345">
        <f>获奖信息!H343</f>
        <v>0</v>
      </c>
      <c r="I345">
        <f>获奖信息!I343</f>
        <v>0</v>
      </c>
      <c r="J345">
        <f>获奖信息!J343</f>
        <v>0</v>
      </c>
      <c r="K345">
        <f>获奖信息!K343</f>
        <v>0</v>
      </c>
      <c r="L345">
        <f>获奖信息!L343</f>
        <v>0</v>
      </c>
      <c r="M345">
        <f>获奖信息!M343</f>
        <v>0</v>
      </c>
      <c r="N345">
        <f>获奖信息!N343</f>
        <v>0</v>
      </c>
      <c r="O345">
        <f>获奖信息!O343</f>
        <v>0</v>
      </c>
    </row>
    <row r="346" spans="1:15" x14ac:dyDescent="0.2">
      <c r="A346">
        <f>获奖信息!A344</f>
        <v>0</v>
      </c>
      <c r="B346">
        <f>获奖信息!B344</f>
        <v>0</v>
      </c>
      <c r="C346">
        <f>获奖信息!C344</f>
        <v>0</v>
      </c>
      <c r="D346">
        <f>获奖信息!D344</f>
        <v>0</v>
      </c>
      <c r="E346">
        <f>获奖信息!E344</f>
        <v>0</v>
      </c>
      <c r="F346">
        <f>获奖信息!F344</f>
        <v>0</v>
      </c>
      <c r="G346">
        <f>获奖信息!G344</f>
        <v>0</v>
      </c>
      <c r="H346">
        <f>获奖信息!H344</f>
        <v>0</v>
      </c>
      <c r="I346">
        <f>获奖信息!I344</f>
        <v>0</v>
      </c>
      <c r="J346">
        <f>获奖信息!J344</f>
        <v>0</v>
      </c>
      <c r="K346">
        <f>获奖信息!K344</f>
        <v>0</v>
      </c>
      <c r="L346">
        <f>获奖信息!L344</f>
        <v>0</v>
      </c>
      <c r="M346">
        <f>获奖信息!M344</f>
        <v>0</v>
      </c>
      <c r="N346">
        <f>获奖信息!N344</f>
        <v>0</v>
      </c>
      <c r="O346">
        <f>获奖信息!O344</f>
        <v>0</v>
      </c>
    </row>
    <row r="347" spans="1:15" x14ac:dyDescent="0.2">
      <c r="A347">
        <f>获奖信息!A345</f>
        <v>0</v>
      </c>
      <c r="B347">
        <f>获奖信息!B345</f>
        <v>0</v>
      </c>
      <c r="C347">
        <f>获奖信息!C345</f>
        <v>0</v>
      </c>
      <c r="D347">
        <f>获奖信息!D345</f>
        <v>0</v>
      </c>
      <c r="E347">
        <f>获奖信息!E345</f>
        <v>0</v>
      </c>
      <c r="F347">
        <f>获奖信息!F345</f>
        <v>0</v>
      </c>
      <c r="G347">
        <f>获奖信息!G345</f>
        <v>0</v>
      </c>
      <c r="H347">
        <f>获奖信息!H345</f>
        <v>0</v>
      </c>
      <c r="I347">
        <f>获奖信息!I345</f>
        <v>0</v>
      </c>
      <c r="J347">
        <f>获奖信息!J345</f>
        <v>0</v>
      </c>
      <c r="K347">
        <f>获奖信息!K345</f>
        <v>0</v>
      </c>
      <c r="L347">
        <f>获奖信息!L345</f>
        <v>0</v>
      </c>
      <c r="M347">
        <f>获奖信息!M345</f>
        <v>0</v>
      </c>
      <c r="N347">
        <f>获奖信息!N345</f>
        <v>0</v>
      </c>
      <c r="O347">
        <f>获奖信息!O345</f>
        <v>0</v>
      </c>
    </row>
    <row r="348" spans="1:15" x14ac:dyDescent="0.2">
      <c r="A348">
        <f>获奖信息!A346</f>
        <v>0</v>
      </c>
      <c r="B348">
        <f>获奖信息!B346</f>
        <v>0</v>
      </c>
      <c r="C348">
        <f>获奖信息!C346</f>
        <v>0</v>
      </c>
      <c r="D348">
        <f>获奖信息!D346</f>
        <v>0</v>
      </c>
      <c r="E348">
        <f>获奖信息!E346</f>
        <v>0</v>
      </c>
      <c r="F348">
        <f>获奖信息!F346</f>
        <v>0</v>
      </c>
      <c r="G348">
        <f>获奖信息!G346</f>
        <v>0</v>
      </c>
      <c r="H348">
        <f>获奖信息!H346</f>
        <v>0</v>
      </c>
      <c r="I348">
        <f>获奖信息!I346</f>
        <v>0</v>
      </c>
      <c r="J348">
        <f>获奖信息!J346</f>
        <v>0</v>
      </c>
      <c r="K348">
        <f>获奖信息!K346</f>
        <v>0</v>
      </c>
      <c r="L348">
        <f>获奖信息!L346</f>
        <v>0</v>
      </c>
      <c r="M348">
        <f>获奖信息!M346</f>
        <v>0</v>
      </c>
      <c r="N348">
        <f>获奖信息!N346</f>
        <v>0</v>
      </c>
      <c r="O348">
        <f>获奖信息!O346</f>
        <v>0</v>
      </c>
    </row>
    <row r="349" spans="1:15" x14ac:dyDescent="0.2">
      <c r="A349">
        <f>获奖信息!A347</f>
        <v>0</v>
      </c>
      <c r="B349">
        <f>获奖信息!B347</f>
        <v>0</v>
      </c>
      <c r="C349">
        <f>获奖信息!C347</f>
        <v>0</v>
      </c>
      <c r="D349">
        <f>获奖信息!D347</f>
        <v>0</v>
      </c>
      <c r="E349">
        <f>获奖信息!E347</f>
        <v>0</v>
      </c>
      <c r="F349">
        <f>获奖信息!F347</f>
        <v>0</v>
      </c>
      <c r="G349">
        <f>获奖信息!G347</f>
        <v>0</v>
      </c>
      <c r="H349">
        <f>获奖信息!H347</f>
        <v>0</v>
      </c>
      <c r="I349">
        <f>获奖信息!I347</f>
        <v>0</v>
      </c>
      <c r="J349">
        <f>获奖信息!J347</f>
        <v>0</v>
      </c>
      <c r="K349">
        <f>获奖信息!K347</f>
        <v>0</v>
      </c>
      <c r="L349">
        <f>获奖信息!L347</f>
        <v>0</v>
      </c>
      <c r="M349">
        <f>获奖信息!M347</f>
        <v>0</v>
      </c>
      <c r="N349">
        <f>获奖信息!N347</f>
        <v>0</v>
      </c>
      <c r="O349">
        <f>获奖信息!O347</f>
        <v>0</v>
      </c>
    </row>
    <row r="350" spans="1:15" x14ac:dyDescent="0.2">
      <c r="A350">
        <f>获奖信息!A348</f>
        <v>0</v>
      </c>
      <c r="B350">
        <f>获奖信息!B348</f>
        <v>0</v>
      </c>
      <c r="C350">
        <f>获奖信息!C348</f>
        <v>0</v>
      </c>
      <c r="D350">
        <f>获奖信息!D348</f>
        <v>0</v>
      </c>
      <c r="E350">
        <f>获奖信息!E348</f>
        <v>0</v>
      </c>
      <c r="F350">
        <f>获奖信息!F348</f>
        <v>0</v>
      </c>
      <c r="G350">
        <f>获奖信息!G348</f>
        <v>0</v>
      </c>
      <c r="H350">
        <f>获奖信息!H348</f>
        <v>0</v>
      </c>
      <c r="I350">
        <f>获奖信息!I348</f>
        <v>0</v>
      </c>
      <c r="J350">
        <f>获奖信息!J348</f>
        <v>0</v>
      </c>
      <c r="K350">
        <f>获奖信息!K348</f>
        <v>0</v>
      </c>
      <c r="L350">
        <f>获奖信息!L348</f>
        <v>0</v>
      </c>
      <c r="M350">
        <f>获奖信息!M348</f>
        <v>0</v>
      </c>
      <c r="N350">
        <f>获奖信息!N348</f>
        <v>0</v>
      </c>
      <c r="O350">
        <f>获奖信息!O348</f>
        <v>0</v>
      </c>
    </row>
    <row r="351" spans="1:15" x14ac:dyDescent="0.2">
      <c r="A351">
        <f>获奖信息!A349</f>
        <v>0</v>
      </c>
      <c r="B351">
        <f>获奖信息!B349</f>
        <v>0</v>
      </c>
      <c r="C351">
        <f>获奖信息!C349</f>
        <v>0</v>
      </c>
      <c r="D351">
        <f>获奖信息!D349</f>
        <v>0</v>
      </c>
      <c r="E351">
        <f>获奖信息!E349</f>
        <v>0</v>
      </c>
      <c r="F351">
        <f>获奖信息!F349</f>
        <v>0</v>
      </c>
      <c r="G351">
        <f>获奖信息!G349</f>
        <v>0</v>
      </c>
      <c r="H351">
        <f>获奖信息!H349</f>
        <v>0</v>
      </c>
      <c r="I351">
        <f>获奖信息!I349</f>
        <v>0</v>
      </c>
      <c r="J351">
        <f>获奖信息!J349</f>
        <v>0</v>
      </c>
      <c r="K351">
        <f>获奖信息!K349</f>
        <v>0</v>
      </c>
      <c r="L351">
        <f>获奖信息!L349</f>
        <v>0</v>
      </c>
      <c r="M351">
        <f>获奖信息!M349</f>
        <v>0</v>
      </c>
      <c r="N351">
        <f>获奖信息!N349</f>
        <v>0</v>
      </c>
      <c r="O351">
        <f>获奖信息!O349</f>
        <v>0</v>
      </c>
    </row>
    <row r="352" spans="1:15" x14ac:dyDescent="0.2">
      <c r="A352">
        <f>获奖信息!A350</f>
        <v>0</v>
      </c>
      <c r="B352">
        <f>获奖信息!B350</f>
        <v>0</v>
      </c>
      <c r="C352">
        <f>获奖信息!C350</f>
        <v>0</v>
      </c>
      <c r="D352">
        <f>获奖信息!D350</f>
        <v>0</v>
      </c>
      <c r="E352">
        <f>获奖信息!E350</f>
        <v>0</v>
      </c>
      <c r="F352">
        <f>获奖信息!F350</f>
        <v>0</v>
      </c>
      <c r="G352">
        <f>获奖信息!G350</f>
        <v>0</v>
      </c>
      <c r="H352">
        <f>获奖信息!H350</f>
        <v>0</v>
      </c>
      <c r="I352">
        <f>获奖信息!I350</f>
        <v>0</v>
      </c>
      <c r="J352">
        <f>获奖信息!J350</f>
        <v>0</v>
      </c>
      <c r="K352">
        <f>获奖信息!K350</f>
        <v>0</v>
      </c>
      <c r="L352">
        <f>获奖信息!L350</f>
        <v>0</v>
      </c>
      <c r="M352">
        <f>获奖信息!M350</f>
        <v>0</v>
      </c>
      <c r="N352">
        <f>获奖信息!N350</f>
        <v>0</v>
      </c>
      <c r="O352">
        <f>获奖信息!O350</f>
        <v>0</v>
      </c>
    </row>
    <row r="353" spans="1:15" x14ac:dyDescent="0.2">
      <c r="A353">
        <f>获奖信息!A351</f>
        <v>0</v>
      </c>
      <c r="B353">
        <f>获奖信息!B351</f>
        <v>0</v>
      </c>
      <c r="C353">
        <f>获奖信息!C351</f>
        <v>0</v>
      </c>
      <c r="D353">
        <f>获奖信息!D351</f>
        <v>0</v>
      </c>
      <c r="E353">
        <f>获奖信息!E351</f>
        <v>0</v>
      </c>
      <c r="F353">
        <f>获奖信息!F351</f>
        <v>0</v>
      </c>
      <c r="G353">
        <f>获奖信息!G351</f>
        <v>0</v>
      </c>
      <c r="H353">
        <f>获奖信息!H351</f>
        <v>0</v>
      </c>
      <c r="I353">
        <f>获奖信息!I351</f>
        <v>0</v>
      </c>
      <c r="J353">
        <f>获奖信息!J351</f>
        <v>0</v>
      </c>
      <c r="K353">
        <f>获奖信息!K351</f>
        <v>0</v>
      </c>
      <c r="L353">
        <f>获奖信息!L351</f>
        <v>0</v>
      </c>
      <c r="M353">
        <f>获奖信息!M351</f>
        <v>0</v>
      </c>
      <c r="N353">
        <f>获奖信息!N351</f>
        <v>0</v>
      </c>
      <c r="O353">
        <f>获奖信息!O351</f>
        <v>0</v>
      </c>
    </row>
    <row r="354" spans="1:15" x14ac:dyDescent="0.2">
      <c r="A354">
        <f>获奖信息!A352</f>
        <v>0</v>
      </c>
      <c r="B354">
        <f>获奖信息!B352</f>
        <v>0</v>
      </c>
      <c r="C354">
        <f>获奖信息!C352</f>
        <v>0</v>
      </c>
      <c r="D354">
        <f>获奖信息!D352</f>
        <v>0</v>
      </c>
      <c r="E354">
        <f>获奖信息!E352</f>
        <v>0</v>
      </c>
      <c r="F354">
        <f>获奖信息!F352</f>
        <v>0</v>
      </c>
      <c r="G354">
        <f>获奖信息!G352</f>
        <v>0</v>
      </c>
      <c r="H354">
        <f>获奖信息!H352</f>
        <v>0</v>
      </c>
      <c r="I354">
        <f>获奖信息!I352</f>
        <v>0</v>
      </c>
      <c r="J354">
        <f>获奖信息!J352</f>
        <v>0</v>
      </c>
      <c r="K354">
        <f>获奖信息!K352</f>
        <v>0</v>
      </c>
      <c r="L354">
        <f>获奖信息!L352</f>
        <v>0</v>
      </c>
      <c r="M354">
        <f>获奖信息!M352</f>
        <v>0</v>
      </c>
      <c r="N354">
        <f>获奖信息!N352</f>
        <v>0</v>
      </c>
      <c r="O354">
        <f>获奖信息!O352</f>
        <v>0</v>
      </c>
    </row>
    <row r="355" spans="1:15" x14ac:dyDescent="0.2">
      <c r="A355">
        <f>获奖信息!A353</f>
        <v>0</v>
      </c>
      <c r="B355">
        <f>获奖信息!B353</f>
        <v>0</v>
      </c>
      <c r="C355">
        <f>获奖信息!C353</f>
        <v>0</v>
      </c>
      <c r="D355">
        <f>获奖信息!D353</f>
        <v>0</v>
      </c>
      <c r="E355">
        <f>获奖信息!E353</f>
        <v>0</v>
      </c>
      <c r="F355">
        <f>获奖信息!F353</f>
        <v>0</v>
      </c>
      <c r="G355">
        <f>获奖信息!G353</f>
        <v>0</v>
      </c>
      <c r="H355">
        <f>获奖信息!H353</f>
        <v>0</v>
      </c>
      <c r="I355">
        <f>获奖信息!I353</f>
        <v>0</v>
      </c>
      <c r="J355">
        <f>获奖信息!J353</f>
        <v>0</v>
      </c>
      <c r="K355">
        <f>获奖信息!K353</f>
        <v>0</v>
      </c>
      <c r="L355">
        <f>获奖信息!L353</f>
        <v>0</v>
      </c>
      <c r="M355">
        <f>获奖信息!M353</f>
        <v>0</v>
      </c>
      <c r="N355">
        <f>获奖信息!N353</f>
        <v>0</v>
      </c>
      <c r="O355">
        <f>获奖信息!O353</f>
        <v>0</v>
      </c>
    </row>
    <row r="356" spans="1:15" x14ac:dyDescent="0.2">
      <c r="A356">
        <f>获奖信息!A354</f>
        <v>0</v>
      </c>
      <c r="B356">
        <f>获奖信息!B354</f>
        <v>0</v>
      </c>
      <c r="C356">
        <f>获奖信息!C354</f>
        <v>0</v>
      </c>
      <c r="D356">
        <f>获奖信息!D354</f>
        <v>0</v>
      </c>
      <c r="E356">
        <f>获奖信息!E354</f>
        <v>0</v>
      </c>
      <c r="F356">
        <f>获奖信息!F354</f>
        <v>0</v>
      </c>
      <c r="G356">
        <f>获奖信息!G354</f>
        <v>0</v>
      </c>
      <c r="H356">
        <f>获奖信息!H354</f>
        <v>0</v>
      </c>
      <c r="I356">
        <f>获奖信息!I354</f>
        <v>0</v>
      </c>
      <c r="J356">
        <f>获奖信息!J354</f>
        <v>0</v>
      </c>
      <c r="K356">
        <f>获奖信息!K354</f>
        <v>0</v>
      </c>
      <c r="L356">
        <f>获奖信息!L354</f>
        <v>0</v>
      </c>
      <c r="M356">
        <f>获奖信息!M354</f>
        <v>0</v>
      </c>
      <c r="N356">
        <f>获奖信息!N354</f>
        <v>0</v>
      </c>
      <c r="O356">
        <f>获奖信息!O354</f>
        <v>0</v>
      </c>
    </row>
    <row r="357" spans="1:15" x14ac:dyDescent="0.2">
      <c r="A357">
        <f>获奖信息!A355</f>
        <v>0</v>
      </c>
      <c r="B357">
        <f>获奖信息!B355</f>
        <v>0</v>
      </c>
      <c r="C357">
        <f>获奖信息!C355</f>
        <v>0</v>
      </c>
      <c r="D357">
        <f>获奖信息!D355</f>
        <v>0</v>
      </c>
      <c r="E357">
        <f>获奖信息!E355</f>
        <v>0</v>
      </c>
      <c r="F357">
        <f>获奖信息!F355</f>
        <v>0</v>
      </c>
      <c r="G357">
        <f>获奖信息!G355</f>
        <v>0</v>
      </c>
      <c r="H357">
        <f>获奖信息!H355</f>
        <v>0</v>
      </c>
      <c r="I357">
        <f>获奖信息!I355</f>
        <v>0</v>
      </c>
      <c r="J357">
        <f>获奖信息!J355</f>
        <v>0</v>
      </c>
      <c r="K357">
        <f>获奖信息!K355</f>
        <v>0</v>
      </c>
      <c r="L357">
        <f>获奖信息!L355</f>
        <v>0</v>
      </c>
      <c r="M357">
        <f>获奖信息!M355</f>
        <v>0</v>
      </c>
      <c r="N357">
        <f>获奖信息!N355</f>
        <v>0</v>
      </c>
      <c r="O357">
        <f>获奖信息!O355</f>
        <v>0</v>
      </c>
    </row>
    <row r="358" spans="1:15" x14ac:dyDescent="0.2">
      <c r="A358">
        <f>获奖信息!A356</f>
        <v>0</v>
      </c>
      <c r="B358">
        <f>获奖信息!B356</f>
        <v>0</v>
      </c>
      <c r="C358">
        <f>获奖信息!C356</f>
        <v>0</v>
      </c>
      <c r="D358">
        <f>获奖信息!D356</f>
        <v>0</v>
      </c>
      <c r="E358">
        <f>获奖信息!E356</f>
        <v>0</v>
      </c>
      <c r="F358">
        <f>获奖信息!F356</f>
        <v>0</v>
      </c>
      <c r="G358">
        <f>获奖信息!G356</f>
        <v>0</v>
      </c>
      <c r="H358">
        <f>获奖信息!H356</f>
        <v>0</v>
      </c>
      <c r="I358">
        <f>获奖信息!I356</f>
        <v>0</v>
      </c>
      <c r="J358">
        <f>获奖信息!J356</f>
        <v>0</v>
      </c>
      <c r="K358">
        <f>获奖信息!K356</f>
        <v>0</v>
      </c>
      <c r="L358">
        <f>获奖信息!L356</f>
        <v>0</v>
      </c>
      <c r="M358">
        <f>获奖信息!M356</f>
        <v>0</v>
      </c>
      <c r="N358">
        <f>获奖信息!N356</f>
        <v>0</v>
      </c>
      <c r="O358">
        <f>获奖信息!O356</f>
        <v>0</v>
      </c>
    </row>
    <row r="359" spans="1:15" x14ac:dyDescent="0.2">
      <c r="A359">
        <f>获奖信息!A357</f>
        <v>0</v>
      </c>
      <c r="B359">
        <f>获奖信息!B357</f>
        <v>0</v>
      </c>
      <c r="C359">
        <f>获奖信息!C357</f>
        <v>0</v>
      </c>
      <c r="D359">
        <f>获奖信息!D357</f>
        <v>0</v>
      </c>
      <c r="E359">
        <f>获奖信息!E357</f>
        <v>0</v>
      </c>
      <c r="F359">
        <f>获奖信息!F357</f>
        <v>0</v>
      </c>
      <c r="G359">
        <f>获奖信息!G357</f>
        <v>0</v>
      </c>
      <c r="H359">
        <f>获奖信息!H357</f>
        <v>0</v>
      </c>
      <c r="I359">
        <f>获奖信息!I357</f>
        <v>0</v>
      </c>
      <c r="J359">
        <f>获奖信息!J357</f>
        <v>0</v>
      </c>
      <c r="K359">
        <f>获奖信息!K357</f>
        <v>0</v>
      </c>
      <c r="L359">
        <f>获奖信息!L357</f>
        <v>0</v>
      </c>
      <c r="M359">
        <f>获奖信息!M357</f>
        <v>0</v>
      </c>
      <c r="N359">
        <f>获奖信息!N357</f>
        <v>0</v>
      </c>
      <c r="O359">
        <f>获奖信息!O357</f>
        <v>0</v>
      </c>
    </row>
    <row r="360" spans="1:15" x14ac:dyDescent="0.2">
      <c r="A360">
        <f>获奖信息!A358</f>
        <v>0</v>
      </c>
      <c r="B360">
        <f>获奖信息!B358</f>
        <v>0</v>
      </c>
      <c r="C360">
        <f>获奖信息!C358</f>
        <v>0</v>
      </c>
      <c r="D360">
        <f>获奖信息!D358</f>
        <v>0</v>
      </c>
      <c r="E360">
        <f>获奖信息!E358</f>
        <v>0</v>
      </c>
      <c r="F360">
        <f>获奖信息!F358</f>
        <v>0</v>
      </c>
      <c r="G360">
        <f>获奖信息!G358</f>
        <v>0</v>
      </c>
      <c r="H360">
        <f>获奖信息!H358</f>
        <v>0</v>
      </c>
      <c r="I360">
        <f>获奖信息!I358</f>
        <v>0</v>
      </c>
      <c r="J360">
        <f>获奖信息!J358</f>
        <v>0</v>
      </c>
      <c r="K360">
        <f>获奖信息!K358</f>
        <v>0</v>
      </c>
      <c r="L360">
        <f>获奖信息!L358</f>
        <v>0</v>
      </c>
      <c r="M360">
        <f>获奖信息!M358</f>
        <v>0</v>
      </c>
      <c r="N360">
        <f>获奖信息!N358</f>
        <v>0</v>
      </c>
      <c r="O360">
        <f>获奖信息!O358</f>
        <v>0</v>
      </c>
    </row>
    <row r="361" spans="1:15" x14ac:dyDescent="0.2">
      <c r="A361">
        <f>获奖信息!A359</f>
        <v>0</v>
      </c>
      <c r="B361">
        <f>获奖信息!B359</f>
        <v>0</v>
      </c>
      <c r="C361">
        <f>获奖信息!C359</f>
        <v>0</v>
      </c>
      <c r="D361">
        <f>获奖信息!D359</f>
        <v>0</v>
      </c>
      <c r="E361">
        <f>获奖信息!E359</f>
        <v>0</v>
      </c>
      <c r="F361">
        <f>获奖信息!F359</f>
        <v>0</v>
      </c>
      <c r="G361">
        <f>获奖信息!G359</f>
        <v>0</v>
      </c>
      <c r="H361">
        <f>获奖信息!H359</f>
        <v>0</v>
      </c>
      <c r="I361">
        <f>获奖信息!I359</f>
        <v>0</v>
      </c>
      <c r="J361">
        <f>获奖信息!J359</f>
        <v>0</v>
      </c>
      <c r="K361">
        <f>获奖信息!K359</f>
        <v>0</v>
      </c>
      <c r="L361">
        <f>获奖信息!L359</f>
        <v>0</v>
      </c>
      <c r="M361">
        <f>获奖信息!M359</f>
        <v>0</v>
      </c>
      <c r="N361">
        <f>获奖信息!N359</f>
        <v>0</v>
      </c>
      <c r="O361">
        <f>获奖信息!O359</f>
        <v>0</v>
      </c>
    </row>
    <row r="362" spans="1:15" x14ac:dyDescent="0.2">
      <c r="A362">
        <f>获奖信息!A360</f>
        <v>0</v>
      </c>
      <c r="B362">
        <f>获奖信息!B360</f>
        <v>0</v>
      </c>
      <c r="C362">
        <f>获奖信息!C360</f>
        <v>0</v>
      </c>
      <c r="D362">
        <f>获奖信息!D360</f>
        <v>0</v>
      </c>
      <c r="E362">
        <f>获奖信息!E360</f>
        <v>0</v>
      </c>
      <c r="F362">
        <f>获奖信息!F360</f>
        <v>0</v>
      </c>
      <c r="G362">
        <f>获奖信息!G360</f>
        <v>0</v>
      </c>
      <c r="H362">
        <f>获奖信息!H360</f>
        <v>0</v>
      </c>
      <c r="I362">
        <f>获奖信息!I360</f>
        <v>0</v>
      </c>
      <c r="J362">
        <f>获奖信息!J360</f>
        <v>0</v>
      </c>
      <c r="K362">
        <f>获奖信息!K360</f>
        <v>0</v>
      </c>
      <c r="L362">
        <f>获奖信息!L360</f>
        <v>0</v>
      </c>
      <c r="M362">
        <f>获奖信息!M360</f>
        <v>0</v>
      </c>
      <c r="N362">
        <f>获奖信息!N360</f>
        <v>0</v>
      </c>
      <c r="O362">
        <f>获奖信息!O360</f>
        <v>0</v>
      </c>
    </row>
    <row r="363" spans="1:15" x14ac:dyDescent="0.2">
      <c r="A363">
        <f>获奖信息!A361</f>
        <v>0</v>
      </c>
      <c r="B363">
        <f>获奖信息!B361</f>
        <v>0</v>
      </c>
      <c r="C363">
        <f>获奖信息!C361</f>
        <v>0</v>
      </c>
      <c r="D363">
        <f>获奖信息!D361</f>
        <v>0</v>
      </c>
      <c r="E363">
        <f>获奖信息!E361</f>
        <v>0</v>
      </c>
      <c r="F363">
        <f>获奖信息!F361</f>
        <v>0</v>
      </c>
      <c r="G363">
        <f>获奖信息!G361</f>
        <v>0</v>
      </c>
      <c r="H363">
        <f>获奖信息!H361</f>
        <v>0</v>
      </c>
      <c r="I363">
        <f>获奖信息!I361</f>
        <v>0</v>
      </c>
      <c r="J363">
        <f>获奖信息!J361</f>
        <v>0</v>
      </c>
      <c r="K363">
        <f>获奖信息!K361</f>
        <v>0</v>
      </c>
      <c r="L363">
        <f>获奖信息!L361</f>
        <v>0</v>
      </c>
      <c r="M363">
        <f>获奖信息!M361</f>
        <v>0</v>
      </c>
      <c r="N363">
        <f>获奖信息!N361</f>
        <v>0</v>
      </c>
      <c r="O363">
        <f>获奖信息!O361</f>
        <v>0</v>
      </c>
    </row>
    <row r="364" spans="1:15" x14ac:dyDescent="0.2">
      <c r="A364">
        <f>获奖信息!A362</f>
        <v>0</v>
      </c>
      <c r="B364">
        <f>获奖信息!B362</f>
        <v>0</v>
      </c>
      <c r="C364">
        <f>获奖信息!C362</f>
        <v>0</v>
      </c>
      <c r="D364">
        <f>获奖信息!D362</f>
        <v>0</v>
      </c>
      <c r="E364">
        <f>获奖信息!E362</f>
        <v>0</v>
      </c>
      <c r="F364">
        <f>获奖信息!F362</f>
        <v>0</v>
      </c>
      <c r="G364">
        <f>获奖信息!G362</f>
        <v>0</v>
      </c>
      <c r="H364">
        <f>获奖信息!H362</f>
        <v>0</v>
      </c>
      <c r="I364">
        <f>获奖信息!I362</f>
        <v>0</v>
      </c>
      <c r="J364">
        <f>获奖信息!J362</f>
        <v>0</v>
      </c>
      <c r="K364">
        <f>获奖信息!K362</f>
        <v>0</v>
      </c>
      <c r="L364">
        <f>获奖信息!L362</f>
        <v>0</v>
      </c>
      <c r="M364">
        <f>获奖信息!M362</f>
        <v>0</v>
      </c>
      <c r="N364">
        <f>获奖信息!N362</f>
        <v>0</v>
      </c>
      <c r="O364">
        <f>获奖信息!O362</f>
        <v>0</v>
      </c>
    </row>
    <row r="365" spans="1:15" x14ac:dyDescent="0.2">
      <c r="A365">
        <f>获奖信息!A363</f>
        <v>0</v>
      </c>
      <c r="B365">
        <f>获奖信息!B363</f>
        <v>0</v>
      </c>
      <c r="C365">
        <f>获奖信息!C363</f>
        <v>0</v>
      </c>
      <c r="D365">
        <f>获奖信息!D363</f>
        <v>0</v>
      </c>
      <c r="E365">
        <f>获奖信息!E363</f>
        <v>0</v>
      </c>
      <c r="F365">
        <f>获奖信息!F363</f>
        <v>0</v>
      </c>
      <c r="G365">
        <f>获奖信息!G363</f>
        <v>0</v>
      </c>
      <c r="H365">
        <f>获奖信息!H363</f>
        <v>0</v>
      </c>
      <c r="I365">
        <f>获奖信息!I363</f>
        <v>0</v>
      </c>
      <c r="J365">
        <f>获奖信息!J363</f>
        <v>0</v>
      </c>
      <c r="K365">
        <f>获奖信息!K363</f>
        <v>0</v>
      </c>
      <c r="L365">
        <f>获奖信息!L363</f>
        <v>0</v>
      </c>
      <c r="M365">
        <f>获奖信息!M363</f>
        <v>0</v>
      </c>
      <c r="N365">
        <f>获奖信息!N363</f>
        <v>0</v>
      </c>
      <c r="O365">
        <f>获奖信息!O363</f>
        <v>0</v>
      </c>
    </row>
    <row r="366" spans="1:15" x14ac:dyDescent="0.2">
      <c r="A366">
        <f>获奖信息!A364</f>
        <v>0</v>
      </c>
      <c r="B366">
        <f>获奖信息!B364</f>
        <v>0</v>
      </c>
      <c r="C366">
        <f>获奖信息!C364</f>
        <v>0</v>
      </c>
      <c r="D366">
        <f>获奖信息!D364</f>
        <v>0</v>
      </c>
      <c r="E366">
        <f>获奖信息!E364</f>
        <v>0</v>
      </c>
      <c r="F366">
        <f>获奖信息!F364</f>
        <v>0</v>
      </c>
      <c r="G366">
        <f>获奖信息!G364</f>
        <v>0</v>
      </c>
      <c r="H366">
        <f>获奖信息!H364</f>
        <v>0</v>
      </c>
      <c r="I366">
        <f>获奖信息!I364</f>
        <v>0</v>
      </c>
      <c r="J366">
        <f>获奖信息!J364</f>
        <v>0</v>
      </c>
      <c r="K366">
        <f>获奖信息!K364</f>
        <v>0</v>
      </c>
      <c r="L366">
        <f>获奖信息!L364</f>
        <v>0</v>
      </c>
      <c r="M366">
        <f>获奖信息!M364</f>
        <v>0</v>
      </c>
      <c r="N366">
        <f>获奖信息!N364</f>
        <v>0</v>
      </c>
      <c r="O366">
        <f>获奖信息!O364</f>
        <v>0</v>
      </c>
    </row>
    <row r="367" spans="1:15" x14ac:dyDescent="0.2">
      <c r="A367">
        <f>获奖信息!A365</f>
        <v>0</v>
      </c>
      <c r="B367">
        <f>获奖信息!B365</f>
        <v>0</v>
      </c>
      <c r="C367">
        <f>获奖信息!C365</f>
        <v>0</v>
      </c>
      <c r="D367">
        <f>获奖信息!D365</f>
        <v>0</v>
      </c>
      <c r="E367">
        <f>获奖信息!E365</f>
        <v>0</v>
      </c>
      <c r="F367">
        <f>获奖信息!F365</f>
        <v>0</v>
      </c>
      <c r="G367">
        <f>获奖信息!G365</f>
        <v>0</v>
      </c>
      <c r="H367">
        <f>获奖信息!H365</f>
        <v>0</v>
      </c>
      <c r="I367">
        <f>获奖信息!I365</f>
        <v>0</v>
      </c>
      <c r="J367">
        <f>获奖信息!J365</f>
        <v>0</v>
      </c>
      <c r="K367">
        <f>获奖信息!K365</f>
        <v>0</v>
      </c>
      <c r="L367">
        <f>获奖信息!L365</f>
        <v>0</v>
      </c>
      <c r="M367">
        <f>获奖信息!M365</f>
        <v>0</v>
      </c>
      <c r="N367">
        <f>获奖信息!N365</f>
        <v>0</v>
      </c>
      <c r="O367">
        <f>获奖信息!O365</f>
        <v>0</v>
      </c>
    </row>
    <row r="368" spans="1:15" x14ac:dyDescent="0.2">
      <c r="A368">
        <f>获奖信息!A366</f>
        <v>0</v>
      </c>
      <c r="B368">
        <f>获奖信息!B366</f>
        <v>0</v>
      </c>
      <c r="C368">
        <f>获奖信息!C366</f>
        <v>0</v>
      </c>
      <c r="D368">
        <f>获奖信息!D366</f>
        <v>0</v>
      </c>
      <c r="E368">
        <f>获奖信息!E366</f>
        <v>0</v>
      </c>
      <c r="F368">
        <f>获奖信息!F366</f>
        <v>0</v>
      </c>
      <c r="G368">
        <f>获奖信息!G366</f>
        <v>0</v>
      </c>
      <c r="H368">
        <f>获奖信息!H366</f>
        <v>0</v>
      </c>
      <c r="I368">
        <f>获奖信息!I366</f>
        <v>0</v>
      </c>
      <c r="J368">
        <f>获奖信息!J366</f>
        <v>0</v>
      </c>
      <c r="K368">
        <f>获奖信息!K366</f>
        <v>0</v>
      </c>
      <c r="L368">
        <f>获奖信息!L366</f>
        <v>0</v>
      </c>
      <c r="M368">
        <f>获奖信息!M366</f>
        <v>0</v>
      </c>
      <c r="N368">
        <f>获奖信息!N366</f>
        <v>0</v>
      </c>
      <c r="O368">
        <f>获奖信息!O366</f>
        <v>0</v>
      </c>
    </row>
    <row r="369" spans="1:15" x14ac:dyDescent="0.2">
      <c r="A369">
        <f>获奖信息!A367</f>
        <v>0</v>
      </c>
      <c r="B369">
        <f>获奖信息!B367</f>
        <v>0</v>
      </c>
      <c r="C369">
        <f>获奖信息!C367</f>
        <v>0</v>
      </c>
      <c r="D369">
        <f>获奖信息!D367</f>
        <v>0</v>
      </c>
      <c r="E369">
        <f>获奖信息!E367</f>
        <v>0</v>
      </c>
      <c r="F369">
        <f>获奖信息!F367</f>
        <v>0</v>
      </c>
      <c r="G369">
        <f>获奖信息!G367</f>
        <v>0</v>
      </c>
      <c r="H369">
        <f>获奖信息!H367</f>
        <v>0</v>
      </c>
      <c r="I369">
        <f>获奖信息!I367</f>
        <v>0</v>
      </c>
      <c r="J369">
        <f>获奖信息!J367</f>
        <v>0</v>
      </c>
      <c r="K369">
        <f>获奖信息!K367</f>
        <v>0</v>
      </c>
      <c r="L369">
        <f>获奖信息!L367</f>
        <v>0</v>
      </c>
      <c r="M369">
        <f>获奖信息!M367</f>
        <v>0</v>
      </c>
      <c r="N369">
        <f>获奖信息!N367</f>
        <v>0</v>
      </c>
      <c r="O369">
        <f>获奖信息!O367</f>
        <v>0</v>
      </c>
    </row>
    <row r="370" spans="1:15" x14ac:dyDescent="0.2">
      <c r="A370">
        <f>获奖信息!A368</f>
        <v>0</v>
      </c>
      <c r="B370">
        <f>获奖信息!B368</f>
        <v>0</v>
      </c>
      <c r="C370">
        <f>获奖信息!C368</f>
        <v>0</v>
      </c>
      <c r="D370">
        <f>获奖信息!D368</f>
        <v>0</v>
      </c>
      <c r="E370">
        <f>获奖信息!E368</f>
        <v>0</v>
      </c>
      <c r="F370">
        <f>获奖信息!F368</f>
        <v>0</v>
      </c>
      <c r="G370">
        <f>获奖信息!G368</f>
        <v>0</v>
      </c>
      <c r="H370">
        <f>获奖信息!H368</f>
        <v>0</v>
      </c>
      <c r="I370">
        <f>获奖信息!I368</f>
        <v>0</v>
      </c>
      <c r="J370">
        <f>获奖信息!J368</f>
        <v>0</v>
      </c>
      <c r="K370">
        <f>获奖信息!K368</f>
        <v>0</v>
      </c>
      <c r="L370">
        <f>获奖信息!L368</f>
        <v>0</v>
      </c>
      <c r="M370">
        <f>获奖信息!M368</f>
        <v>0</v>
      </c>
      <c r="N370">
        <f>获奖信息!N368</f>
        <v>0</v>
      </c>
      <c r="O370">
        <f>获奖信息!O368</f>
        <v>0</v>
      </c>
    </row>
    <row r="371" spans="1:15" x14ac:dyDescent="0.2">
      <c r="A371">
        <f>获奖信息!A369</f>
        <v>0</v>
      </c>
      <c r="B371">
        <f>获奖信息!B369</f>
        <v>0</v>
      </c>
      <c r="C371">
        <f>获奖信息!C369</f>
        <v>0</v>
      </c>
      <c r="D371">
        <f>获奖信息!D369</f>
        <v>0</v>
      </c>
      <c r="E371">
        <f>获奖信息!E369</f>
        <v>0</v>
      </c>
      <c r="F371">
        <f>获奖信息!F369</f>
        <v>0</v>
      </c>
      <c r="G371">
        <f>获奖信息!G369</f>
        <v>0</v>
      </c>
      <c r="H371">
        <f>获奖信息!H369</f>
        <v>0</v>
      </c>
      <c r="I371">
        <f>获奖信息!I369</f>
        <v>0</v>
      </c>
      <c r="J371">
        <f>获奖信息!J369</f>
        <v>0</v>
      </c>
      <c r="K371">
        <f>获奖信息!K369</f>
        <v>0</v>
      </c>
      <c r="L371">
        <f>获奖信息!L369</f>
        <v>0</v>
      </c>
      <c r="M371">
        <f>获奖信息!M369</f>
        <v>0</v>
      </c>
      <c r="N371">
        <f>获奖信息!N369</f>
        <v>0</v>
      </c>
      <c r="O371">
        <f>获奖信息!O369</f>
        <v>0</v>
      </c>
    </row>
    <row r="372" spans="1:15" x14ac:dyDescent="0.2">
      <c r="A372">
        <f>获奖信息!A370</f>
        <v>0</v>
      </c>
      <c r="B372">
        <f>获奖信息!B370</f>
        <v>0</v>
      </c>
      <c r="C372">
        <f>获奖信息!C370</f>
        <v>0</v>
      </c>
      <c r="D372">
        <f>获奖信息!D370</f>
        <v>0</v>
      </c>
      <c r="E372">
        <f>获奖信息!E370</f>
        <v>0</v>
      </c>
      <c r="F372">
        <f>获奖信息!F370</f>
        <v>0</v>
      </c>
      <c r="G372">
        <f>获奖信息!G370</f>
        <v>0</v>
      </c>
      <c r="H372">
        <f>获奖信息!H370</f>
        <v>0</v>
      </c>
      <c r="I372">
        <f>获奖信息!I370</f>
        <v>0</v>
      </c>
      <c r="J372">
        <f>获奖信息!J370</f>
        <v>0</v>
      </c>
      <c r="K372">
        <f>获奖信息!K370</f>
        <v>0</v>
      </c>
      <c r="L372">
        <f>获奖信息!L370</f>
        <v>0</v>
      </c>
      <c r="M372">
        <f>获奖信息!M370</f>
        <v>0</v>
      </c>
      <c r="N372">
        <f>获奖信息!N370</f>
        <v>0</v>
      </c>
      <c r="O372">
        <f>获奖信息!O370</f>
        <v>0</v>
      </c>
    </row>
    <row r="373" spans="1:15" x14ac:dyDescent="0.2">
      <c r="A373">
        <f>获奖信息!A371</f>
        <v>0</v>
      </c>
      <c r="B373">
        <f>获奖信息!B371</f>
        <v>0</v>
      </c>
      <c r="C373">
        <f>获奖信息!C371</f>
        <v>0</v>
      </c>
      <c r="D373">
        <f>获奖信息!D371</f>
        <v>0</v>
      </c>
      <c r="E373">
        <f>获奖信息!E371</f>
        <v>0</v>
      </c>
      <c r="F373">
        <f>获奖信息!F371</f>
        <v>0</v>
      </c>
      <c r="G373">
        <f>获奖信息!G371</f>
        <v>0</v>
      </c>
      <c r="H373">
        <f>获奖信息!H371</f>
        <v>0</v>
      </c>
      <c r="I373">
        <f>获奖信息!I371</f>
        <v>0</v>
      </c>
      <c r="J373">
        <f>获奖信息!J371</f>
        <v>0</v>
      </c>
      <c r="K373">
        <f>获奖信息!K371</f>
        <v>0</v>
      </c>
      <c r="L373">
        <f>获奖信息!L371</f>
        <v>0</v>
      </c>
      <c r="M373">
        <f>获奖信息!M371</f>
        <v>0</v>
      </c>
      <c r="N373">
        <f>获奖信息!N371</f>
        <v>0</v>
      </c>
      <c r="O373">
        <f>获奖信息!O371</f>
        <v>0</v>
      </c>
    </row>
    <row r="374" spans="1:15" x14ac:dyDescent="0.2">
      <c r="A374">
        <f>获奖信息!A372</f>
        <v>0</v>
      </c>
      <c r="B374">
        <f>获奖信息!B372</f>
        <v>0</v>
      </c>
      <c r="C374">
        <f>获奖信息!C372</f>
        <v>0</v>
      </c>
      <c r="D374">
        <f>获奖信息!D372</f>
        <v>0</v>
      </c>
      <c r="E374">
        <f>获奖信息!E372</f>
        <v>0</v>
      </c>
      <c r="F374">
        <f>获奖信息!F372</f>
        <v>0</v>
      </c>
      <c r="G374">
        <f>获奖信息!G372</f>
        <v>0</v>
      </c>
      <c r="H374">
        <f>获奖信息!H372</f>
        <v>0</v>
      </c>
      <c r="I374">
        <f>获奖信息!I372</f>
        <v>0</v>
      </c>
      <c r="J374">
        <f>获奖信息!J372</f>
        <v>0</v>
      </c>
      <c r="K374">
        <f>获奖信息!K372</f>
        <v>0</v>
      </c>
      <c r="L374">
        <f>获奖信息!L372</f>
        <v>0</v>
      </c>
      <c r="M374">
        <f>获奖信息!M372</f>
        <v>0</v>
      </c>
      <c r="N374">
        <f>获奖信息!N372</f>
        <v>0</v>
      </c>
      <c r="O374">
        <f>获奖信息!O372</f>
        <v>0</v>
      </c>
    </row>
    <row r="375" spans="1:15" x14ac:dyDescent="0.2">
      <c r="A375">
        <f>获奖信息!A373</f>
        <v>0</v>
      </c>
      <c r="B375">
        <f>获奖信息!B373</f>
        <v>0</v>
      </c>
      <c r="C375">
        <f>获奖信息!C373</f>
        <v>0</v>
      </c>
      <c r="D375">
        <f>获奖信息!D373</f>
        <v>0</v>
      </c>
      <c r="E375">
        <f>获奖信息!E373</f>
        <v>0</v>
      </c>
      <c r="F375">
        <f>获奖信息!F373</f>
        <v>0</v>
      </c>
      <c r="G375">
        <f>获奖信息!G373</f>
        <v>0</v>
      </c>
      <c r="H375">
        <f>获奖信息!H373</f>
        <v>0</v>
      </c>
      <c r="I375">
        <f>获奖信息!I373</f>
        <v>0</v>
      </c>
      <c r="J375">
        <f>获奖信息!J373</f>
        <v>0</v>
      </c>
      <c r="K375">
        <f>获奖信息!K373</f>
        <v>0</v>
      </c>
      <c r="L375">
        <f>获奖信息!L373</f>
        <v>0</v>
      </c>
      <c r="M375">
        <f>获奖信息!M373</f>
        <v>0</v>
      </c>
      <c r="N375">
        <f>获奖信息!N373</f>
        <v>0</v>
      </c>
      <c r="O375">
        <f>获奖信息!O373</f>
        <v>0</v>
      </c>
    </row>
    <row r="376" spans="1:15" x14ac:dyDescent="0.2">
      <c r="A376">
        <f>获奖信息!A374</f>
        <v>0</v>
      </c>
      <c r="B376">
        <f>获奖信息!B374</f>
        <v>0</v>
      </c>
      <c r="C376">
        <f>获奖信息!C374</f>
        <v>0</v>
      </c>
      <c r="D376">
        <f>获奖信息!D374</f>
        <v>0</v>
      </c>
      <c r="E376">
        <f>获奖信息!E374</f>
        <v>0</v>
      </c>
      <c r="F376">
        <f>获奖信息!F374</f>
        <v>0</v>
      </c>
      <c r="G376">
        <f>获奖信息!G374</f>
        <v>0</v>
      </c>
      <c r="H376">
        <f>获奖信息!H374</f>
        <v>0</v>
      </c>
      <c r="I376">
        <f>获奖信息!I374</f>
        <v>0</v>
      </c>
      <c r="J376">
        <f>获奖信息!J374</f>
        <v>0</v>
      </c>
      <c r="K376">
        <f>获奖信息!K374</f>
        <v>0</v>
      </c>
      <c r="L376">
        <f>获奖信息!L374</f>
        <v>0</v>
      </c>
      <c r="M376">
        <f>获奖信息!M374</f>
        <v>0</v>
      </c>
      <c r="N376">
        <f>获奖信息!N374</f>
        <v>0</v>
      </c>
      <c r="O376">
        <f>获奖信息!O374</f>
        <v>0</v>
      </c>
    </row>
    <row r="377" spans="1:15" x14ac:dyDescent="0.2">
      <c r="A377">
        <f>获奖信息!A375</f>
        <v>0</v>
      </c>
      <c r="B377">
        <f>获奖信息!B375</f>
        <v>0</v>
      </c>
      <c r="C377">
        <f>获奖信息!C375</f>
        <v>0</v>
      </c>
      <c r="D377">
        <f>获奖信息!D375</f>
        <v>0</v>
      </c>
      <c r="E377">
        <f>获奖信息!E375</f>
        <v>0</v>
      </c>
      <c r="F377">
        <f>获奖信息!F375</f>
        <v>0</v>
      </c>
      <c r="G377">
        <f>获奖信息!G375</f>
        <v>0</v>
      </c>
      <c r="H377">
        <f>获奖信息!H375</f>
        <v>0</v>
      </c>
      <c r="I377">
        <f>获奖信息!I375</f>
        <v>0</v>
      </c>
      <c r="J377">
        <f>获奖信息!J375</f>
        <v>0</v>
      </c>
      <c r="K377">
        <f>获奖信息!K375</f>
        <v>0</v>
      </c>
      <c r="L377">
        <f>获奖信息!L375</f>
        <v>0</v>
      </c>
      <c r="M377">
        <f>获奖信息!M375</f>
        <v>0</v>
      </c>
      <c r="N377">
        <f>获奖信息!N375</f>
        <v>0</v>
      </c>
      <c r="O377">
        <f>获奖信息!O375</f>
        <v>0</v>
      </c>
    </row>
    <row r="378" spans="1:15" x14ac:dyDescent="0.2">
      <c r="A378">
        <f>获奖信息!A376</f>
        <v>0</v>
      </c>
      <c r="B378">
        <f>获奖信息!B376</f>
        <v>0</v>
      </c>
      <c r="C378">
        <f>获奖信息!C376</f>
        <v>0</v>
      </c>
      <c r="D378">
        <f>获奖信息!D376</f>
        <v>0</v>
      </c>
      <c r="E378">
        <f>获奖信息!E376</f>
        <v>0</v>
      </c>
      <c r="F378">
        <f>获奖信息!F376</f>
        <v>0</v>
      </c>
      <c r="G378">
        <f>获奖信息!G376</f>
        <v>0</v>
      </c>
      <c r="H378">
        <f>获奖信息!H376</f>
        <v>0</v>
      </c>
      <c r="I378">
        <f>获奖信息!I376</f>
        <v>0</v>
      </c>
      <c r="J378">
        <f>获奖信息!J376</f>
        <v>0</v>
      </c>
      <c r="K378">
        <f>获奖信息!K376</f>
        <v>0</v>
      </c>
      <c r="L378">
        <f>获奖信息!L376</f>
        <v>0</v>
      </c>
      <c r="M378">
        <f>获奖信息!M376</f>
        <v>0</v>
      </c>
      <c r="N378">
        <f>获奖信息!N376</f>
        <v>0</v>
      </c>
      <c r="O378">
        <f>获奖信息!O376</f>
        <v>0</v>
      </c>
    </row>
    <row r="379" spans="1:15" x14ac:dyDescent="0.2">
      <c r="A379">
        <f>获奖信息!A377</f>
        <v>0</v>
      </c>
      <c r="B379">
        <f>获奖信息!B377</f>
        <v>0</v>
      </c>
      <c r="C379">
        <f>获奖信息!C377</f>
        <v>0</v>
      </c>
      <c r="D379">
        <f>获奖信息!D377</f>
        <v>0</v>
      </c>
      <c r="E379">
        <f>获奖信息!E377</f>
        <v>0</v>
      </c>
      <c r="F379">
        <f>获奖信息!F377</f>
        <v>0</v>
      </c>
      <c r="G379">
        <f>获奖信息!G377</f>
        <v>0</v>
      </c>
      <c r="H379">
        <f>获奖信息!H377</f>
        <v>0</v>
      </c>
      <c r="I379">
        <f>获奖信息!I377</f>
        <v>0</v>
      </c>
      <c r="J379">
        <f>获奖信息!J377</f>
        <v>0</v>
      </c>
      <c r="K379">
        <f>获奖信息!K377</f>
        <v>0</v>
      </c>
      <c r="L379">
        <f>获奖信息!L377</f>
        <v>0</v>
      </c>
      <c r="M379">
        <f>获奖信息!M377</f>
        <v>0</v>
      </c>
      <c r="N379">
        <f>获奖信息!N377</f>
        <v>0</v>
      </c>
      <c r="O379">
        <f>获奖信息!O377</f>
        <v>0</v>
      </c>
    </row>
    <row r="380" spans="1:15" x14ac:dyDescent="0.2">
      <c r="A380">
        <f>获奖信息!A378</f>
        <v>0</v>
      </c>
      <c r="B380">
        <f>获奖信息!B378</f>
        <v>0</v>
      </c>
      <c r="C380">
        <f>获奖信息!C378</f>
        <v>0</v>
      </c>
      <c r="D380">
        <f>获奖信息!D378</f>
        <v>0</v>
      </c>
      <c r="E380">
        <f>获奖信息!E378</f>
        <v>0</v>
      </c>
      <c r="F380">
        <f>获奖信息!F378</f>
        <v>0</v>
      </c>
      <c r="G380">
        <f>获奖信息!G378</f>
        <v>0</v>
      </c>
      <c r="H380">
        <f>获奖信息!H378</f>
        <v>0</v>
      </c>
      <c r="I380">
        <f>获奖信息!I378</f>
        <v>0</v>
      </c>
      <c r="J380">
        <f>获奖信息!J378</f>
        <v>0</v>
      </c>
      <c r="K380">
        <f>获奖信息!K378</f>
        <v>0</v>
      </c>
      <c r="L380">
        <f>获奖信息!L378</f>
        <v>0</v>
      </c>
      <c r="M380">
        <f>获奖信息!M378</f>
        <v>0</v>
      </c>
      <c r="N380">
        <f>获奖信息!N378</f>
        <v>0</v>
      </c>
      <c r="O380">
        <f>获奖信息!O378</f>
        <v>0</v>
      </c>
    </row>
    <row r="381" spans="1:15" x14ac:dyDescent="0.2">
      <c r="A381">
        <f>获奖信息!A379</f>
        <v>0</v>
      </c>
      <c r="B381">
        <f>获奖信息!B379</f>
        <v>0</v>
      </c>
      <c r="C381">
        <f>获奖信息!C379</f>
        <v>0</v>
      </c>
      <c r="D381">
        <f>获奖信息!D379</f>
        <v>0</v>
      </c>
      <c r="E381">
        <f>获奖信息!E379</f>
        <v>0</v>
      </c>
      <c r="F381">
        <f>获奖信息!F379</f>
        <v>0</v>
      </c>
      <c r="G381">
        <f>获奖信息!G379</f>
        <v>0</v>
      </c>
      <c r="H381">
        <f>获奖信息!H379</f>
        <v>0</v>
      </c>
      <c r="I381">
        <f>获奖信息!I379</f>
        <v>0</v>
      </c>
      <c r="J381">
        <f>获奖信息!J379</f>
        <v>0</v>
      </c>
      <c r="K381">
        <f>获奖信息!K379</f>
        <v>0</v>
      </c>
      <c r="L381">
        <f>获奖信息!L379</f>
        <v>0</v>
      </c>
      <c r="M381">
        <f>获奖信息!M379</f>
        <v>0</v>
      </c>
      <c r="N381">
        <f>获奖信息!N379</f>
        <v>0</v>
      </c>
      <c r="O381">
        <f>获奖信息!O379</f>
        <v>0</v>
      </c>
    </row>
    <row r="382" spans="1:15" x14ac:dyDescent="0.2">
      <c r="A382">
        <f>获奖信息!A380</f>
        <v>0</v>
      </c>
      <c r="B382">
        <f>获奖信息!B380</f>
        <v>0</v>
      </c>
      <c r="C382">
        <f>获奖信息!C380</f>
        <v>0</v>
      </c>
      <c r="D382">
        <f>获奖信息!D380</f>
        <v>0</v>
      </c>
      <c r="E382">
        <f>获奖信息!E380</f>
        <v>0</v>
      </c>
      <c r="F382">
        <f>获奖信息!F380</f>
        <v>0</v>
      </c>
      <c r="G382">
        <f>获奖信息!G380</f>
        <v>0</v>
      </c>
      <c r="H382">
        <f>获奖信息!H380</f>
        <v>0</v>
      </c>
      <c r="I382">
        <f>获奖信息!I380</f>
        <v>0</v>
      </c>
      <c r="J382">
        <f>获奖信息!J380</f>
        <v>0</v>
      </c>
      <c r="K382">
        <f>获奖信息!K380</f>
        <v>0</v>
      </c>
      <c r="L382">
        <f>获奖信息!L380</f>
        <v>0</v>
      </c>
      <c r="M382">
        <f>获奖信息!M380</f>
        <v>0</v>
      </c>
      <c r="N382">
        <f>获奖信息!N380</f>
        <v>0</v>
      </c>
      <c r="O382">
        <f>获奖信息!O380</f>
        <v>0</v>
      </c>
    </row>
    <row r="383" spans="1:15" x14ac:dyDescent="0.2">
      <c r="A383">
        <f>获奖信息!A381</f>
        <v>0</v>
      </c>
      <c r="B383">
        <f>获奖信息!B381</f>
        <v>0</v>
      </c>
      <c r="C383">
        <f>获奖信息!C381</f>
        <v>0</v>
      </c>
      <c r="D383">
        <f>获奖信息!D381</f>
        <v>0</v>
      </c>
      <c r="E383">
        <f>获奖信息!E381</f>
        <v>0</v>
      </c>
      <c r="F383">
        <f>获奖信息!F381</f>
        <v>0</v>
      </c>
      <c r="G383">
        <f>获奖信息!G381</f>
        <v>0</v>
      </c>
      <c r="H383">
        <f>获奖信息!H381</f>
        <v>0</v>
      </c>
      <c r="I383">
        <f>获奖信息!I381</f>
        <v>0</v>
      </c>
      <c r="J383">
        <f>获奖信息!J381</f>
        <v>0</v>
      </c>
      <c r="K383">
        <f>获奖信息!K381</f>
        <v>0</v>
      </c>
      <c r="L383">
        <f>获奖信息!L381</f>
        <v>0</v>
      </c>
      <c r="M383">
        <f>获奖信息!M381</f>
        <v>0</v>
      </c>
      <c r="N383">
        <f>获奖信息!N381</f>
        <v>0</v>
      </c>
      <c r="O383">
        <f>获奖信息!O381</f>
        <v>0</v>
      </c>
    </row>
    <row r="384" spans="1:15" x14ac:dyDescent="0.2">
      <c r="A384">
        <f>获奖信息!A382</f>
        <v>0</v>
      </c>
      <c r="B384">
        <f>获奖信息!B382</f>
        <v>0</v>
      </c>
      <c r="C384">
        <f>获奖信息!C382</f>
        <v>0</v>
      </c>
      <c r="D384">
        <f>获奖信息!D382</f>
        <v>0</v>
      </c>
      <c r="E384">
        <f>获奖信息!E382</f>
        <v>0</v>
      </c>
      <c r="F384">
        <f>获奖信息!F382</f>
        <v>0</v>
      </c>
      <c r="G384">
        <f>获奖信息!G382</f>
        <v>0</v>
      </c>
      <c r="H384">
        <f>获奖信息!H382</f>
        <v>0</v>
      </c>
      <c r="I384">
        <f>获奖信息!I382</f>
        <v>0</v>
      </c>
      <c r="J384">
        <f>获奖信息!J382</f>
        <v>0</v>
      </c>
      <c r="K384">
        <f>获奖信息!K382</f>
        <v>0</v>
      </c>
      <c r="L384">
        <f>获奖信息!L382</f>
        <v>0</v>
      </c>
      <c r="M384">
        <f>获奖信息!M382</f>
        <v>0</v>
      </c>
      <c r="N384">
        <f>获奖信息!N382</f>
        <v>0</v>
      </c>
      <c r="O384">
        <f>获奖信息!O382</f>
        <v>0</v>
      </c>
    </row>
    <row r="385" spans="1:15" x14ac:dyDescent="0.2">
      <c r="A385">
        <f>获奖信息!A383</f>
        <v>0</v>
      </c>
      <c r="B385">
        <f>获奖信息!B383</f>
        <v>0</v>
      </c>
      <c r="C385">
        <f>获奖信息!C383</f>
        <v>0</v>
      </c>
      <c r="D385">
        <f>获奖信息!D383</f>
        <v>0</v>
      </c>
      <c r="E385">
        <f>获奖信息!E383</f>
        <v>0</v>
      </c>
      <c r="F385">
        <f>获奖信息!F383</f>
        <v>0</v>
      </c>
      <c r="G385">
        <f>获奖信息!G383</f>
        <v>0</v>
      </c>
      <c r="H385">
        <f>获奖信息!H383</f>
        <v>0</v>
      </c>
      <c r="I385">
        <f>获奖信息!I383</f>
        <v>0</v>
      </c>
      <c r="J385">
        <f>获奖信息!J383</f>
        <v>0</v>
      </c>
      <c r="K385">
        <f>获奖信息!K383</f>
        <v>0</v>
      </c>
      <c r="L385">
        <f>获奖信息!L383</f>
        <v>0</v>
      </c>
      <c r="M385">
        <f>获奖信息!M383</f>
        <v>0</v>
      </c>
      <c r="N385">
        <f>获奖信息!N383</f>
        <v>0</v>
      </c>
      <c r="O385">
        <f>获奖信息!O383</f>
        <v>0</v>
      </c>
    </row>
    <row r="386" spans="1:15" x14ac:dyDescent="0.2">
      <c r="A386">
        <f>获奖信息!A384</f>
        <v>0</v>
      </c>
      <c r="B386">
        <f>获奖信息!B384</f>
        <v>0</v>
      </c>
      <c r="C386">
        <f>获奖信息!C384</f>
        <v>0</v>
      </c>
      <c r="D386">
        <f>获奖信息!D384</f>
        <v>0</v>
      </c>
      <c r="E386">
        <f>获奖信息!E384</f>
        <v>0</v>
      </c>
      <c r="F386">
        <f>获奖信息!F384</f>
        <v>0</v>
      </c>
      <c r="G386">
        <f>获奖信息!G384</f>
        <v>0</v>
      </c>
      <c r="H386">
        <f>获奖信息!H384</f>
        <v>0</v>
      </c>
      <c r="I386">
        <f>获奖信息!I384</f>
        <v>0</v>
      </c>
      <c r="J386">
        <f>获奖信息!J384</f>
        <v>0</v>
      </c>
      <c r="K386">
        <f>获奖信息!K384</f>
        <v>0</v>
      </c>
      <c r="L386">
        <f>获奖信息!L384</f>
        <v>0</v>
      </c>
      <c r="M386">
        <f>获奖信息!M384</f>
        <v>0</v>
      </c>
      <c r="N386">
        <f>获奖信息!N384</f>
        <v>0</v>
      </c>
      <c r="O386">
        <f>获奖信息!O384</f>
        <v>0</v>
      </c>
    </row>
    <row r="387" spans="1:15" x14ac:dyDescent="0.2">
      <c r="A387">
        <f>获奖信息!A385</f>
        <v>0</v>
      </c>
      <c r="B387">
        <f>获奖信息!B385</f>
        <v>0</v>
      </c>
      <c r="C387">
        <f>获奖信息!C385</f>
        <v>0</v>
      </c>
      <c r="D387">
        <f>获奖信息!D385</f>
        <v>0</v>
      </c>
      <c r="E387">
        <f>获奖信息!E385</f>
        <v>0</v>
      </c>
      <c r="F387">
        <f>获奖信息!F385</f>
        <v>0</v>
      </c>
      <c r="G387">
        <f>获奖信息!G385</f>
        <v>0</v>
      </c>
      <c r="H387">
        <f>获奖信息!H385</f>
        <v>0</v>
      </c>
      <c r="I387">
        <f>获奖信息!I385</f>
        <v>0</v>
      </c>
      <c r="J387">
        <f>获奖信息!J385</f>
        <v>0</v>
      </c>
      <c r="K387">
        <f>获奖信息!K385</f>
        <v>0</v>
      </c>
      <c r="L387">
        <f>获奖信息!L385</f>
        <v>0</v>
      </c>
      <c r="M387">
        <f>获奖信息!M385</f>
        <v>0</v>
      </c>
      <c r="N387">
        <f>获奖信息!N385</f>
        <v>0</v>
      </c>
      <c r="O387">
        <f>获奖信息!O385</f>
        <v>0</v>
      </c>
    </row>
    <row r="388" spans="1:15" x14ac:dyDescent="0.2">
      <c r="A388">
        <f>获奖信息!A386</f>
        <v>0</v>
      </c>
      <c r="B388">
        <f>获奖信息!B386</f>
        <v>0</v>
      </c>
      <c r="C388">
        <f>获奖信息!C386</f>
        <v>0</v>
      </c>
      <c r="D388">
        <f>获奖信息!D386</f>
        <v>0</v>
      </c>
      <c r="E388">
        <f>获奖信息!E386</f>
        <v>0</v>
      </c>
      <c r="F388">
        <f>获奖信息!F386</f>
        <v>0</v>
      </c>
      <c r="G388">
        <f>获奖信息!G386</f>
        <v>0</v>
      </c>
      <c r="H388">
        <f>获奖信息!H386</f>
        <v>0</v>
      </c>
      <c r="I388">
        <f>获奖信息!I386</f>
        <v>0</v>
      </c>
      <c r="J388">
        <f>获奖信息!J386</f>
        <v>0</v>
      </c>
      <c r="K388">
        <f>获奖信息!K386</f>
        <v>0</v>
      </c>
      <c r="L388">
        <f>获奖信息!L386</f>
        <v>0</v>
      </c>
      <c r="M388">
        <f>获奖信息!M386</f>
        <v>0</v>
      </c>
      <c r="N388">
        <f>获奖信息!N386</f>
        <v>0</v>
      </c>
      <c r="O388">
        <f>获奖信息!O386</f>
        <v>0</v>
      </c>
    </row>
    <row r="389" spans="1:15" x14ac:dyDescent="0.2">
      <c r="A389">
        <f>获奖信息!A387</f>
        <v>0</v>
      </c>
      <c r="B389">
        <f>获奖信息!B387</f>
        <v>0</v>
      </c>
      <c r="C389">
        <f>获奖信息!C387</f>
        <v>0</v>
      </c>
      <c r="D389">
        <f>获奖信息!D387</f>
        <v>0</v>
      </c>
      <c r="E389">
        <f>获奖信息!E387</f>
        <v>0</v>
      </c>
      <c r="F389">
        <f>获奖信息!F387</f>
        <v>0</v>
      </c>
      <c r="G389">
        <f>获奖信息!G387</f>
        <v>0</v>
      </c>
      <c r="H389">
        <f>获奖信息!H387</f>
        <v>0</v>
      </c>
      <c r="I389">
        <f>获奖信息!I387</f>
        <v>0</v>
      </c>
      <c r="J389">
        <f>获奖信息!J387</f>
        <v>0</v>
      </c>
      <c r="K389">
        <f>获奖信息!K387</f>
        <v>0</v>
      </c>
      <c r="L389">
        <f>获奖信息!L387</f>
        <v>0</v>
      </c>
      <c r="M389">
        <f>获奖信息!M387</f>
        <v>0</v>
      </c>
      <c r="N389">
        <f>获奖信息!N387</f>
        <v>0</v>
      </c>
      <c r="O389">
        <f>获奖信息!O387</f>
        <v>0</v>
      </c>
    </row>
    <row r="390" spans="1:15" x14ac:dyDescent="0.2">
      <c r="A390">
        <f>获奖信息!A388</f>
        <v>0</v>
      </c>
      <c r="B390">
        <f>获奖信息!B388</f>
        <v>0</v>
      </c>
      <c r="C390">
        <f>获奖信息!C388</f>
        <v>0</v>
      </c>
      <c r="D390">
        <f>获奖信息!D388</f>
        <v>0</v>
      </c>
      <c r="E390">
        <f>获奖信息!E388</f>
        <v>0</v>
      </c>
      <c r="F390">
        <f>获奖信息!F388</f>
        <v>0</v>
      </c>
      <c r="G390">
        <f>获奖信息!G388</f>
        <v>0</v>
      </c>
      <c r="H390">
        <f>获奖信息!H388</f>
        <v>0</v>
      </c>
      <c r="I390">
        <f>获奖信息!I388</f>
        <v>0</v>
      </c>
      <c r="J390">
        <f>获奖信息!J388</f>
        <v>0</v>
      </c>
      <c r="K390">
        <f>获奖信息!K388</f>
        <v>0</v>
      </c>
      <c r="L390">
        <f>获奖信息!L388</f>
        <v>0</v>
      </c>
      <c r="M390">
        <f>获奖信息!M388</f>
        <v>0</v>
      </c>
      <c r="N390">
        <f>获奖信息!N388</f>
        <v>0</v>
      </c>
      <c r="O390">
        <f>获奖信息!O388</f>
        <v>0</v>
      </c>
    </row>
    <row r="391" spans="1:15" x14ac:dyDescent="0.2">
      <c r="A391">
        <f>获奖信息!A389</f>
        <v>0</v>
      </c>
      <c r="B391">
        <f>获奖信息!B389</f>
        <v>0</v>
      </c>
      <c r="C391">
        <f>获奖信息!C389</f>
        <v>0</v>
      </c>
      <c r="D391">
        <f>获奖信息!D389</f>
        <v>0</v>
      </c>
      <c r="E391">
        <f>获奖信息!E389</f>
        <v>0</v>
      </c>
      <c r="F391">
        <f>获奖信息!F389</f>
        <v>0</v>
      </c>
      <c r="G391">
        <f>获奖信息!G389</f>
        <v>0</v>
      </c>
      <c r="H391">
        <f>获奖信息!H389</f>
        <v>0</v>
      </c>
      <c r="I391">
        <f>获奖信息!I389</f>
        <v>0</v>
      </c>
      <c r="J391">
        <f>获奖信息!J389</f>
        <v>0</v>
      </c>
      <c r="K391">
        <f>获奖信息!K389</f>
        <v>0</v>
      </c>
      <c r="L391">
        <f>获奖信息!L389</f>
        <v>0</v>
      </c>
      <c r="M391">
        <f>获奖信息!M389</f>
        <v>0</v>
      </c>
      <c r="N391">
        <f>获奖信息!N389</f>
        <v>0</v>
      </c>
      <c r="O391">
        <f>获奖信息!O389</f>
        <v>0</v>
      </c>
    </row>
    <row r="392" spans="1:15" x14ac:dyDescent="0.2">
      <c r="A392">
        <f>获奖信息!A390</f>
        <v>0</v>
      </c>
      <c r="B392">
        <f>获奖信息!B390</f>
        <v>0</v>
      </c>
      <c r="C392">
        <f>获奖信息!C390</f>
        <v>0</v>
      </c>
      <c r="D392">
        <f>获奖信息!D390</f>
        <v>0</v>
      </c>
      <c r="E392">
        <f>获奖信息!E390</f>
        <v>0</v>
      </c>
      <c r="F392">
        <f>获奖信息!F390</f>
        <v>0</v>
      </c>
      <c r="G392">
        <f>获奖信息!G390</f>
        <v>0</v>
      </c>
      <c r="H392">
        <f>获奖信息!H390</f>
        <v>0</v>
      </c>
      <c r="I392">
        <f>获奖信息!I390</f>
        <v>0</v>
      </c>
      <c r="J392">
        <f>获奖信息!J390</f>
        <v>0</v>
      </c>
      <c r="K392">
        <f>获奖信息!K390</f>
        <v>0</v>
      </c>
      <c r="L392">
        <f>获奖信息!L390</f>
        <v>0</v>
      </c>
      <c r="M392">
        <f>获奖信息!M390</f>
        <v>0</v>
      </c>
      <c r="N392">
        <f>获奖信息!N390</f>
        <v>0</v>
      </c>
      <c r="O392">
        <f>获奖信息!O390</f>
        <v>0</v>
      </c>
    </row>
    <row r="393" spans="1:15" x14ac:dyDescent="0.2">
      <c r="A393">
        <f>获奖信息!A391</f>
        <v>0</v>
      </c>
      <c r="B393">
        <f>获奖信息!B391</f>
        <v>0</v>
      </c>
      <c r="C393">
        <f>获奖信息!C391</f>
        <v>0</v>
      </c>
      <c r="D393">
        <f>获奖信息!D391</f>
        <v>0</v>
      </c>
      <c r="E393">
        <f>获奖信息!E391</f>
        <v>0</v>
      </c>
      <c r="F393">
        <f>获奖信息!F391</f>
        <v>0</v>
      </c>
      <c r="G393">
        <f>获奖信息!G391</f>
        <v>0</v>
      </c>
      <c r="H393">
        <f>获奖信息!H391</f>
        <v>0</v>
      </c>
      <c r="I393">
        <f>获奖信息!I391</f>
        <v>0</v>
      </c>
      <c r="J393">
        <f>获奖信息!J391</f>
        <v>0</v>
      </c>
      <c r="K393">
        <f>获奖信息!K391</f>
        <v>0</v>
      </c>
      <c r="L393">
        <f>获奖信息!L391</f>
        <v>0</v>
      </c>
      <c r="M393">
        <f>获奖信息!M391</f>
        <v>0</v>
      </c>
      <c r="N393">
        <f>获奖信息!N391</f>
        <v>0</v>
      </c>
      <c r="O393">
        <f>获奖信息!O391</f>
        <v>0</v>
      </c>
    </row>
    <row r="394" spans="1:15" x14ac:dyDescent="0.2">
      <c r="A394">
        <f>获奖信息!A392</f>
        <v>0</v>
      </c>
      <c r="B394">
        <f>获奖信息!B392</f>
        <v>0</v>
      </c>
      <c r="C394">
        <f>获奖信息!C392</f>
        <v>0</v>
      </c>
      <c r="D394">
        <f>获奖信息!D392</f>
        <v>0</v>
      </c>
      <c r="E394">
        <f>获奖信息!E392</f>
        <v>0</v>
      </c>
      <c r="F394">
        <f>获奖信息!F392</f>
        <v>0</v>
      </c>
      <c r="G394">
        <f>获奖信息!G392</f>
        <v>0</v>
      </c>
      <c r="H394">
        <f>获奖信息!H392</f>
        <v>0</v>
      </c>
      <c r="I394">
        <f>获奖信息!I392</f>
        <v>0</v>
      </c>
      <c r="J394">
        <f>获奖信息!J392</f>
        <v>0</v>
      </c>
      <c r="K394">
        <f>获奖信息!K392</f>
        <v>0</v>
      </c>
      <c r="L394">
        <f>获奖信息!L392</f>
        <v>0</v>
      </c>
      <c r="M394">
        <f>获奖信息!M392</f>
        <v>0</v>
      </c>
      <c r="N394">
        <f>获奖信息!N392</f>
        <v>0</v>
      </c>
      <c r="O394">
        <f>获奖信息!O392</f>
        <v>0</v>
      </c>
    </row>
    <row r="395" spans="1:15" x14ac:dyDescent="0.2">
      <c r="A395">
        <f>获奖信息!A393</f>
        <v>0</v>
      </c>
      <c r="B395">
        <f>获奖信息!B393</f>
        <v>0</v>
      </c>
      <c r="C395">
        <f>获奖信息!C393</f>
        <v>0</v>
      </c>
      <c r="D395">
        <f>获奖信息!D393</f>
        <v>0</v>
      </c>
      <c r="E395">
        <f>获奖信息!E393</f>
        <v>0</v>
      </c>
      <c r="F395">
        <f>获奖信息!F393</f>
        <v>0</v>
      </c>
      <c r="G395">
        <f>获奖信息!G393</f>
        <v>0</v>
      </c>
      <c r="H395">
        <f>获奖信息!H393</f>
        <v>0</v>
      </c>
      <c r="I395">
        <f>获奖信息!I393</f>
        <v>0</v>
      </c>
      <c r="J395">
        <f>获奖信息!J393</f>
        <v>0</v>
      </c>
      <c r="K395">
        <f>获奖信息!K393</f>
        <v>0</v>
      </c>
      <c r="L395">
        <f>获奖信息!L393</f>
        <v>0</v>
      </c>
      <c r="M395">
        <f>获奖信息!M393</f>
        <v>0</v>
      </c>
      <c r="N395">
        <f>获奖信息!N393</f>
        <v>0</v>
      </c>
      <c r="O395">
        <f>获奖信息!O393</f>
        <v>0</v>
      </c>
    </row>
    <row r="396" spans="1:15" x14ac:dyDescent="0.2">
      <c r="A396">
        <f>获奖信息!A394</f>
        <v>0</v>
      </c>
      <c r="B396">
        <f>获奖信息!B394</f>
        <v>0</v>
      </c>
      <c r="C396">
        <f>获奖信息!C394</f>
        <v>0</v>
      </c>
      <c r="D396">
        <f>获奖信息!D394</f>
        <v>0</v>
      </c>
      <c r="E396">
        <f>获奖信息!E394</f>
        <v>0</v>
      </c>
      <c r="F396">
        <f>获奖信息!F394</f>
        <v>0</v>
      </c>
      <c r="G396">
        <f>获奖信息!G394</f>
        <v>0</v>
      </c>
      <c r="H396">
        <f>获奖信息!H394</f>
        <v>0</v>
      </c>
      <c r="I396">
        <f>获奖信息!I394</f>
        <v>0</v>
      </c>
      <c r="J396">
        <f>获奖信息!J394</f>
        <v>0</v>
      </c>
      <c r="K396">
        <f>获奖信息!K394</f>
        <v>0</v>
      </c>
      <c r="L396">
        <f>获奖信息!L394</f>
        <v>0</v>
      </c>
      <c r="M396">
        <f>获奖信息!M394</f>
        <v>0</v>
      </c>
      <c r="N396">
        <f>获奖信息!N394</f>
        <v>0</v>
      </c>
      <c r="O396">
        <f>获奖信息!O394</f>
        <v>0</v>
      </c>
    </row>
    <row r="397" spans="1:15" x14ac:dyDescent="0.2">
      <c r="A397">
        <f>获奖信息!A395</f>
        <v>0</v>
      </c>
      <c r="B397">
        <f>获奖信息!B395</f>
        <v>0</v>
      </c>
      <c r="C397">
        <f>获奖信息!C395</f>
        <v>0</v>
      </c>
      <c r="D397">
        <f>获奖信息!D395</f>
        <v>0</v>
      </c>
      <c r="E397">
        <f>获奖信息!E395</f>
        <v>0</v>
      </c>
      <c r="F397">
        <f>获奖信息!F395</f>
        <v>0</v>
      </c>
      <c r="G397">
        <f>获奖信息!G395</f>
        <v>0</v>
      </c>
      <c r="H397">
        <f>获奖信息!H395</f>
        <v>0</v>
      </c>
      <c r="I397">
        <f>获奖信息!I395</f>
        <v>0</v>
      </c>
      <c r="J397">
        <f>获奖信息!J395</f>
        <v>0</v>
      </c>
      <c r="K397">
        <f>获奖信息!K395</f>
        <v>0</v>
      </c>
      <c r="L397">
        <f>获奖信息!L395</f>
        <v>0</v>
      </c>
      <c r="M397">
        <f>获奖信息!M395</f>
        <v>0</v>
      </c>
      <c r="N397">
        <f>获奖信息!N395</f>
        <v>0</v>
      </c>
      <c r="O397">
        <f>获奖信息!O395</f>
        <v>0</v>
      </c>
    </row>
    <row r="398" spans="1:15" x14ac:dyDescent="0.2">
      <c r="A398">
        <f>获奖信息!A396</f>
        <v>0</v>
      </c>
      <c r="B398">
        <f>获奖信息!B396</f>
        <v>0</v>
      </c>
      <c r="C398">
        <f>获奖信息!C396</f>
        <v>0</v>
      </c>
      <c r="D398">
        <f>获奖信息!D396</f>
        <v>0</v>
      </c>
      <c r="E398">
        <f>获奖信息!E396</f>
        <v>0</v>
      </c>
      <c r="F398">
        <f>获奖信息!F396</f>
        <v>0</v>
      </c>
      <c r="G398">
        <f>获奖信息!G396</f>
        <v>0</v>
      </c>
      <c r="H398">
        <f>获奖信息!H396</f>
        <v>0</v>
      </c>
      <c r="I398">
        <f>获奖信息!I396</f>
        <v>0</v>
      </c>
      <c r="J398">
        <f>获奖信息!J396</f>
        <v>0</v>
      </c>
      <c r="K398">
        <f>获奖信息!K396</f>
        <v>0</v>
      </c>
      <c r="L398">
        <f>获奖信息!L396</f>
        <v>0</v>
      </c>
      <c r="M398">
        <f>获奖信息!M396</f>
        <v>0</v>
      </c>
      <c r="N398">
        <f>获奖信息!N396</f>
        <v>0</v>
      </c>
      <c r="O398">
        <f>获奖信息!O396</f>
        <v>0</v>
      </c>
    </row>
    <row r="399" spans="1:15" x14ac:dyDescent="0.2">
      <c r="A399">
        <f>获奖信息!A397</f>
        <v>0</v>
      </c>
      <c r="B399">
        <f>获奖信息!B397</f>
        <v>0</v>
      </c>
      <c r="C399">
        <f>获奖信息!C397</f>
        <v>0</v>
      </c>
      <c r="D399">
        <f>获奖信息!D397</f>
        <v>0</v>
      </c>
      <c r="E399">
        <f>获奖信息!E397</f>
        <v>0</v>
      </c>
      <c r="F399">
        <f>获奖信息!F397</f>
        <v>0</v>
      </c>
      <c r="G399">
        <f>获奖信息!G397</f>
        <v>0</v>
      </c>
      <c r="H399">
        <f>获奖信息!H397</f>
        <v>0</v>
      </c>
      <c r="I399">
        <f>获奖信息!I397</f>
        <v>0</v>
      </c>
      <c r="J399">
        <f>获奖信息!J397</f>
        <v>0</v>
      </c>
      <c r="K399">
        <f>获奖信息!K397</f>
        <v>0</v>
      </c>
      <c r="L399">
        <f>获奖信息!L397</f>
        <v>0</v>
      </c>
      <c r="M399">
        <f>获奖信息!M397</f>
        <v>0</v>
      </c>
      <c r="N399">
        <f>获奖信息!N397</f>
        <v>0</v>
      </c>
      <c r="O399">
        <f>获奖信息!O397</f>
        <v>0</v>
      </c>
    </row>
    <row r="400" spans="1:15" x14ac:dyDescent="0.2">
      <c r="A400">
        <f>获奖信息!A398</f>
        <v>0</v>
      </c>
      <c r="B400">
        <f>获奖信息!B398</f>
        <v>0</v>
      </c>
      <c r="C400">
        <f>获奖信息!C398</f>
        <v>0</v>
      </c>
      <c r="D400">
        <f>获奖信息!D398</f>
        <v>0</v>
      </c>
      <c r="E400">
        <f>获奖信息!E398</f>
        <v>0</v>
      </c>
      <c r="F400">
        <f>获奖信息!F398</f>
        <v>0</v>
      </c>
      <c r="G400">
        <f>获奖信息!G398</f>
        <v>0</v>
      </c>
      <c r="H400">
        <f>获奖信息!H398</f>
        <v>0</v>
      </c>
      <c r="I400">
        <f>获奖信息!I398</f>
        <v>0</v>
      </c>
      <c r="J400">
        <f>获奖信息!J398</f>
        <v>0</v>
      </c>
      <c r="K400">
        <f>获奖信息!K398</f>
        <v>0</v>
      </c>
      <c r="L400">
        <f>获奖信息!L398</f>
        <v>0</v>
      </c>
      <c r="M400">
        <f>获奖信息!M398</f>
        <v>0</v>
      </c>
      <c r="N400">
        <f>获奖信息!N398</f>
        <v>0</v>
      </c>
      <c r="O400">
        <f>获奖信息!O398</f>
        <v>0</v>
      </c>
    </row>
    <row r="401" spans="1:15" x14ac:dyDescent="0.2">
      <c r="A401">
        <f>获奖信息!A399</f>
        <v>0</v>
      </c>
      <c r="B401">
        <f>获奖信息!B399</f>
        <v>0</v>
      </c>
      <c r="C401">
        <f>获奖信息!C399</f>
        <v>0</v>
      </c>
      <c r="D401">
        <f>获奖信息!D399</f>
        <v>0</v>
      </c>
      <c r="E401">
        <f>获奖信息!E399</f>
        <v>0</v>
      </c>
      <c r="F401">
        <f>获奖信息!F399</f>
        <v>0</v>
      </c>
      <c r="G401">
        <f>获奖信息!G399</f>
        <v>0</v>
      </c>
      <c r="H401">
        <f>获奖信息!H399</f>
        <v>0</v>
      </c>
      <c r="I401">
        <f>获奖信息!I399</f>
        <v>0</v>
      </c>
      <c r="J401">
        <f>获奖信息!J399</f>
        <v>0</v>
      </c>
      <c r="K401">
        <f>获奖信息!K399</f>
        <v>0</v>
      </c>
      <c r="L401">
        <f>获奖信息!L399</f>
        <v>0</v>
      </c>
      <c r="M401">
        <f>获奖信息!M399</f>
        <v>0</v>
      </c>
      <c r="N401">
        <f>获奖信息!N399</f>
        <v>0</v>
      </c>
      <c r="O401">
        <f>获奖信息!O399</f>
        <v>0</v>
      </c>
    </row>
    <row r="402" spans="1:15" x14ac:dyDescent="0.2">
      <c r="A402">
        <f>获奖信息!A400</f>
        <v>0</v>
      </c>
      <c r="B402">
        <f>获奖信息!B400</f>
        <v>0</v>
      </c>
      <c r="C402">
        <f>获奖信息!C400</f>
        <v>0</v>
      </c>
      <c r="D402">
        <f>获奖信息!D400</f>
        <v>0</v>
      </c>
      <c r="E402">
        <f>获奖信息!E400</f>
        <v>0</v>
      </c>
      <c r="F402">
        <f>获奖信息!F400</f>
        <v>0</v>
      </c>
      <c r="G402">
        <f>获奖信息!G400</f>
        <v>0</v>
      </c>
      <c r="H402">
        <f>获奖信息!H400</f>
        <v>0</v>
      </c>
      <c r="I402">
        <f>获奖信息!I400</f>
        <v>0</v>
      </c>
      <c r="J402">
        <f>获奖信息!J400</f>
        <v>0</v>
      </c>
      <c r="K402">
        <f>获奖信息!K400</f>
        <v>0</v>
      </c>
      <c r="L402">
        <f>获奖信息!L400</f>
        <v>0</v>
      </c>
      <c r="M402">
        <f>获奖信息!M400</f>
        <v>0</v>
      </c>
      <c r="N402">
        <f>获奖信息!N400</f>
        <v>0</v>
      </c>
      <c r="O402">
        <f>获奖信息!O400</f>
        <v>0</v>
      </c>
    </row>
    <row r="403" spans="1:15" x14ac:dyDescent="0.2">
      <c r="A403">
        <f>获奖信息!A401</f>
        <v>0</v>
      </c>
      <c r="B403">
        <f>获奖信息!B401</f>
        <v>0</v>
      </c>
      <c r="C403">
        <f>获奖信息!C401</f>
        <v>0</v>
      </c>
      <c r="D403">
        <f>获奖信息!D401</f>
        <v>0</v>
      </c>
      <c r="E403">
        <f>获奖信息!E401</f>
        <v>0</v>
      </c>
      <c r="F403">
        <f>获奖信息!F401</f>
        <v>0</v>
      </c>
      <c r="G403">
        <f>获奖信息!G401</f>
        <v>0</v>
      </c>
      <c r="H403">
        <f>获奖信息!H401</f>
        <v>0</v>
      </c>
      <c r="I403">
        <f>获奖信息!I401</f>
        <v>0</v>
      </c>
      <c r="J403">
        <f>获奖信息!J401</f>
        <v>0</v>
      </c>
      <c r="K403">
        <f>获奖信息!K401</f>
        <v>0</v>
      </c>
      <c r="L403">
        <f>获奖信息!L401</f>
        <v>0</v>
      </c>
      <c r="M403">
        <f>获奖信息!M401</f>
        <v>0</v>
      </c>
      <c r="N403">
        <f>获奖信息!N401</f>
        <v>0</v>
      </c>
      <c r="O403">
        <f>获奖信息!O401</f>
        <v>0</v>
      </c>
    </row>
    <row r="404" spans="1:15" x14ac:dyDescent="0.2">
      <c r="A404">
        <f>获奖信息!A402</f>
        <v>0</v>
      </c>
      <c r="B404">
        <f>获奖信息!B402</f>
        <v>0</v>
      </c>
      <c r="C404">
        <f>获奖信息!C402</f>
        <v>0</v>
      </c>
      <c r="D404">
        <f>获奖信息!D402</f>
        <v>0</v>
      </c>
      <c r="E404">
        <f>获奖信息!E402</f>
        <v>0</v>
      </c>
      <c r="F404">
        <f>获奖信息!F402</f>
        <v>0</v>
      </c>
      <c r="G404">
        <f>获奖信息!G402</f>
        <v>0</v>
      </c>
      <c r="H404">
        <f>获奖信息!H402</f>
        <v>0</v>
      </c>
      <c r="I404">
        <f>获奖信息!I402</f>
        <v>0</v>
      </c>
      <c r="J404">
        <f>获奖信息!J402</f>
        <v>0</v>
      </c>
      <c r="K404">
        <f>获奖信息!K402</f>
        <v>0</v>
      </c>
      <c r="L404">
        <f>获奖信息!L402</f>
        <v>0</v>
      </c>
      <c r="M404">
        <f>获奖信息!M402</f>
        <v>0</v>
      </c>
      <c r="N404">
        <f>获奖信息!N402</f>
        <v>0</v>
      </c>
      <c r="O404">
        <f>获奖信息!O402</f>
        <v>0</v>
      </c>
    </row>
    <row r="405" spans="1:15" x14ac:dyDescent="0.2">
      <c r="A405">
        <f>获奖信息!A403</f>
        <v>0</v>
      </c>
      <c r="B405">
        <f>获奖信息!B403</f>
        <v>0</v>
      </c>
      <c r="C405">
        <f>获奖信息!C403</f>
        <v>0</v>
      </c>
      <c r="D405">
        <f>获奖信息!D403</f>
        <v>0</v>
      </c>
      <c r="E405">
        <f>获奖信息!E403</f>
        <v>0</v>
      </c>
      <c r="F405">
        <f>获奖信息!F403</f>
        <v>0</v>
      </c>
      <c r="G405">
        <f>获奖信息!G403</f>
        <v>0</v>
      </c>
      <c r="H405">
        <f>获奖信息!H403</f>
        <v>0</v>
      </c>
      <c r="I405">
        <f>获奖信息!I403</f>
        <v>0</v>
      </c>
      <c r="J405">
        <f>获奖信息!J403</f>
        <v>0</v>
      </c>
      <c r="K405">
        <f>获奖信息!K403</f>
        <v>0</v>
      </c>
      <c r="L405">
        <f>获奖信息!L403</f>
        <v>0</v>
      </c>
      <c r="M405">
        <f>获奖信息!M403</f>
        <v>0</v>
      </c>
      <c r="N405">
        <f>获奖信息!N403</f>
        <v>0</v>
      </c>
      <c r="O405">
        <f>获奖信息!O403</f>
        <v>0</v>
      </c>
    </row>
    <row r="406" spans="1:15" x14ac:dyDescent="0.2">
      <c r="A406">
        <f>获奖信息!A404</f>
        <v>0</v>
      </c>
      <c r="B406">
        <f>获奖信息!B404</f>
        <v>0</v>
      </c>
      <c r="C406">
        <f>获奖信息!C404</f>
        <v>0</v>
      </c>
      <c r="D406">
        <f>获奖信息!D404</f>
        <v>0</v>
      </c>
      <c r="E406">
        <f>获奖信息!E404</f>
        <v>0</v>
      </c>
      <c r="F406">
        <f>获奖信息!F404</f>
        <v>0</v>
      </c>
      <c r="G406">
        <f>获奖信息!G404</f>
        <v>0</v>
      </c>
      <c r="H406">
        <f>获奖信息!H404</f>
        <v>0</v>
      </c>
      <c r="I406">
        <f>获奖信息!I404</f>
        <v>0</v>
      </c>
      <c r="J406">
        <f>获奖信息!J404</f>
        <v>0</v>
      </c>
      <c r="K406">
        <f>获奖信息!K404</f>
        <v>0</v>
      </c>
      <c r="L406">
        <f>获奖信息!L404</f>
        <v>0</v>
      </c>
      <c r="M406">
        <f>获奖信息!M404</f>
        <v>0</v>
      </c>
      <c r="N406">
        <f>获奖信息!N404</f>
        <v>0</v>
      </c>
      <c r="O406">
        <f>获奖信息!O404</f>
        <v>0</v>
      </c>
    </row>
    <row r="407" spans="1:15" x14ac:dyDescent="0.2">
      <c r="A407">
        <f>获奖信息!A405</f>
        <v>0</v>
      </c>
      <c r="B407">
        <f>获奖信息!B405</f>
        <v>0</v>
      </c>
      <c r="C407">
        <f>获奖信息!C405</f>
        <v>0</v>
      </c>
      <c r="D407">
        <f>获奖信息!D405</f>
        <v>0</v>
      </c>
      <c r="E407">
        <f>获奖信息!E405</f>
        <v>0</v>
      </c>
      <c r="F407">
        <f>获奖信息!F405</f>
        <v>0</v>
      </c>
      <c r="G407">
        <f>获奖信息!G405</f>
        <v>0</v>
      </c>
      <c r="H407">
        <f>获奖信息!H405</f>
        <v>0</v>
      </c>
      <c r="I407">
        <f>获奖信息!I405</f>
        <v>0</v>
      </c>
      <c r="J407">
        <f>获奖信息!J405</f>
        <v>0</v>
      </c>
      <c r="K407">
        <f>获奖信息!K405</f>
        <v>0</v>
      </c>
      <c r="L407">
        <f>获奖信息!L405</f>
        <v>0</v>
      </c>
      <c r="M407">
        <f>获奖信息!M405</f>
        <v>0</v>
      </c>
      <c r="N407">
        <f>获奖信息!N405</f>
        <v>0</v>
      </c>
      <c r="O407">
        <f>获奖信息!O405</f>
        <v>0</v>
      </c>
    </row>
    <row r="408" spans="1:15" x14ac:dyDescent="0.2">
      <c r="A408">
        <f>获奖信息!A406</f>
        <v>0</v>
      </c>
      <c r="B408">
        <f>获奖信息!B406</f>
        <v>0</v>
      </c>
      <c r="C408">
        <f>获奖信息!C406</f>
        <v>0</v>
      </c>
      <c r="D408">
        <f>获奖信息!D406</f>
        <v>0</v>
      </c>
      <c r="E408">
        <f>获奖信息!E406</f>
        <v>0</v>
      </c>
      <c r="F408">
        <f>获奖信息!F406</f>
        <v>0</v>
      </c>
      <c r="G408">
        <f>获奖信息!G406</f>
        <v>0</v>
      </c>
      <c r="H408">
        <f>获奖信息!H406</f>
        <v>0</v>
      </c>
      <c r="I408">
        <f>获奖信息!I406</f>
        <v>0</v>
      </c>
      <c r="J408">
        <f>获奖信息!J406</f>
        <v>0</v>
      </c>
      <c r="K408">
        <f>获奖信息!K406</f>
        <v>0</v>
      </c>
      <c r="L408">
        <f>获奖信息!L406</f>
        <v>0</v>
      </c>
      <c r="M408">
        <f>获奖信息!M406</f>
        <v>0</v>
      </c>
      <c r="N408">
        <f>获奖信息!N406</f>
        <v>0</v>
      </c>
      <c r="O408">
        <f>获奖信息!O406</f>
        <v>0</v>
      </c>
    </row>
    <row r="409" spans="1:15" x14ac:dyDescent="0.2">
      <c r="A409">
        <f>获奖信息!A407</f>
        <v>0</v>
      </c>
      <c r="B409">
        <f>获奖信息!B407</f>
        <v>0</v>
      </c>
      <c r="C409">
        <f>获奖信息!C407</f>
        <v>0</v>
      </c>
      <c r="D409">
        <f>获奖信息!D407</f>
        <v>0</v>
      </c>
      <c r="E409">
        <f>获奖信息!E407</f>
        <v>0</v>
      </c>
      <c r="F409">
        <f>获奖信息!F407</f>
        <v>0</v>
      </c>
      <c r="G409">
        <f>获奖信息!G407</f>
        <v>0</v>
      </c>
      <c r="H409">
        <f>获奖信息!H407</f>
        <v>0</v>
      </c>
      <c r="I409">
        <f>获奖信息!I407</f>
        <v>0</v>
      </c>
      <c r="J409">
        <f>获奖信息!J407</f>
        <v>0</v>
      </c>
      <c r="K409">
        <f>获奖信息!K407</f>
        <v>0</v>
      </c>
      <c r="L409">
        <f>获奖信息!L407</f>
        <v>0</v>
      </c>
      <c r="M409">
        <f>获奖信息!M407</f>
        <v>0</v>
      </c>
      <c r="N409">
        <f>获奖信息!N407</f>
        <v>0</v>
      </c>
      <c r="O409">
        <f>获奖信息!O407</f>
        <v>0</v>
      </c>
    </row>
    <row r="410" spans="1:15" x14ac:dyDescent="0.2">
      <c r="A410">
        <f>获奖信息!A408</f>
        <v>0</v>
      </c>
      <c r="B410">
        <f>获奖信息!B408</f>
        <v>0</v>
      </c>
      <c r="C410">
        <f>获奖信息!C408</f>
        <v>0</v>
      </c>
      <c r="D410">
        <f>获奖信息!D408</f>
        <v>0</v>
      </c>
      <c r="E410">
        <f>获奖信息!E408</f>
        <v>0</v>
      </c>
      <c r="F410">
        <f>获奖信息!F408</f>
        <v>0</v>
      </c>
      <c r="G410">
        <f>获奖信息!G408</f>
        <v>0</v>
      </c>
      <c r="H410">
        <f>获奖信息!H408</f>
        <v>0</v>
      </c>
      <c r="I410">
        <f>获奖信息!I408</f>
        <v>0</v>
      </c>
      <c r="J410">
        <f>获奖信息!J408</f>
        <v>0</v>
      </c>
      <c r="K410">
        <f>获奖信息!K408</f>
        <v>0</v>
      </c>
      <c r="L410">
        <f>获奖信息!L408</f>
        <v>0</v>
      </c>
      <c r="M410">
        <f>获奖信息!M408</f>
        <v>0</v>
      </c>
      <c r="N410">
        <f>获奖信息!N408</f>
        <v>0</v>
      </c>
      <c r="O410">
        <f>获奖信息!O408</f>
        <v>0</v>
      </c>
    </row>
    <row r="411" spans="1:15" x14ac:dyDescent="0.2">
      <c r="A411">
        <f>获奖信息!A409</f>
        <v>0</v>
      </c>
      <c r="B411">
        <f>获奖信息!B409</f>
        <v>0</v>
      </c>
      <c r="C411">
        <f>获奖信息!C409</f>
        <v>0</v>
      </c>
      <c r="D411">
        <f>获奖信息!D409</f>
        <v>0</v>
      </c>
      <c r="E411">
        <f>获奖信息!E409</f>
        <v>0</v>
      </c>
      <c r="F411">
        <f>获奖信息!F409</f>
        <v>0</v>
      </c>
      <c r="G411">
        <f>获奖信息!G409</f>
        <v>0</v>
      </c>
      <c r="H411">
        <f>获奖信息!H409</f>
        <v>0</v>
      </c>
      <c r="I411">
        <f>获奖信息!I409</f>
        <v>0</v>
      </c>
      <c r="J411">
        <f>获奖信息!J409</f>
        <v>0</v>
      </c>
      <c r="K411">
        <f>获奖信息!K409</f>
        <v>0</v>
      </c>
      <c r="L411">
        <f>获奖信息!L409</f>
        <v>0</v>
      </c>
      <c r="M411">
        <f>获奖信息!M409</f>
        <v>0</v>
      </c>
      <c r="N411">
        <f>获奖信息!N409</f>
        <v>0</v>
      </c>
      <c r="O411">
        <f>获奖信息!O409</f>
        <v>0</v>
      </c>
    </row>
    <row r="412" spans="1:15" x14ac:dyDescent="0.2">
      <c r="A412">
        <f>获奖信息!A410</f>
        <v>0</v>
      </c>
      <c r="B412">
        <f>获奖信息!B410</f>
        <v>0</v>
      </c>
      <c r="C412">
        <f>获奖信息!C410</f>
        <v>0</v>
      </c>
      <c r="D412">
        <f>获奖信息!D410</f>
        <v>0</v>
      </c>
      <c r="E412">
        <f>获奖信息!E410</f>
        <v>0</v>
      </c>
      <c r="F412">
        <f>获奖信息!F410</f>
        <v>0</v>
      </c>
      <c r="G412">
        <f>获奖信息!G410</f>
        <v>0</v>
      </c>
      <c r="H412">
        <f>获奖信息!H410</f>
        <v>0</v>
      </c>
      <c r="I412">
        <f>获奖信息!I410</f>
        <v>0</v>
      </c>
      <c r="J412">
        <f>获奖信息!J410</f>
        <v>0</v>
      </c>
      <c r="K412">
        <f>获奖信息!K410</f>
        <v>0</v>
      </c>
      <c r="L412">
        <f>获奖信息!L410</f>
        <v>0</v>
      </c>
      <c r="M412">
        <f>获奖信息!M410</f>
        <v>0</v>
      </c>
      <c r="N412">
        <f>获奖信息!N410</f>
        <v>0</v>
      </c>
      <c r="O412">
        <f>获奖信息!O410</f>
        <v>0</v>
      </c>
    </row>
    <row r="413" spans="1:15" x14ac:dyDescent="0.2">
      <c r="A413">
        <f>获奖信息!A411</f>
        <v>0</v>
      </c>
      <c r="B413">
        <f>获奖信息!B411</f>
        <v>0</v>
      </c>
      <c r="C413">
        <f>获奖信息!C411</f>
        <v>0</v>
      </c>
      <c r="D413">
        <f>获奖信息!D411</f>
        <v>0</v>
      </c>
      <c r="E413">
        <f>获奖信息!E411</f>
        <v>0</v>
      </c>
      <c r="F413">
        <f>获奖信息!F411</f>
        <v>0</v>
      </c>
      <c r="G413">
        <f>获奖信息!G411</f>
        <v>0</v>
      </c>
      <c r="H413">
        <f>获奖信息!H411</f>
        <v>0</v>
      </c>
      <c r="I413">
        <f>获奖信息!I411</f>
        <v>0</v>
      </c>
      <c r="J413">
        <f>获奖信息!J411</f>
        <v>0</v>
      </c>
      <c r="K413">
        <f>获奖信息!K411</f>
        <v>0</v>
      </c>
      <c r="L413">
        <f>获奖信息!L411</f>
        <v>0</v>
      </c>
      <c r="M413">
        <f>获奖信息!M411</f>
        <v>0</v>
      </c>
      <c r="N413">
        <f>获奖信息!N411</f>
        <v>0</v>
      </c>
      <c r="O413">
        <f>获奖信息!O411</f>
        <v>0</v>
      </c>
    </row>
    <row r="414" spans="1:15" x14ac:dyDescent="0.2">
      <c r="A414">
        <f>获奖信息!A412</f>
        <v>0</v>
      </c>
      <c r="B414">
        <f>获奖信息!B412</f>
        <v>0</v>
      </c>
      <c r="C414">
        <f>获奖信息!C412</f>
        <v>0</v>
      </c>
      <c r="D414">
        <f>获奖信息!D412</f>
        <v>0</v>
      </c>
      <c r="E414">
        <f>获奖信息!E412</f>
        <v>0</v>
      </c>
      <c r="F414">
        <f>获奖信息!F412</f>
        <v>0</v>
      </c>
      <c r="G414">
        <f>获奖信息!G412</f>
        <v>0</v>
      </c>
      <c r="H414">
        <f>获奖信息!H412</f>
        <v>0</v>
      </c>
      <c r="I414">
        <f>获奖信息!I412</f>
        <v>0</v>
      </c>
      <c r="J414">
        <f>获奖信息!J412</f>
        <v>0</v>
      </c>
      <c r="K414">
        <f>获奖信息!K412</f>
        <v>0</v>
      </c>
      <c r="L414">
        <f>获奖信息!L412</f>
        <v>0</v>
      </c>
      <c r="M414">
        <f>获奖信息!M412</f>
        <v>0</v>
      </c>
      <c r="N414">
        <f>获奖信息!N412</f>
        <v>0</v>
      </c>
      <c r="O414">
        <f>获奖信息!O412</f>
        <v>0</v>
      </c>
    </row>
    <row r="415" spans="1:15" x14ac:dyDescent="0.2">
      <c r="A415">
        <f>获奖信息!A413</f>
        <v>0</v>
      </c>
      <c r="B415">
        <f>获奖信息!B413</f>
        <v>0</v>
      </c>
      <c r="C415">
        <f>获奖信息!C413</f>
        <v>0</v>
      </c>
      <c r="D415">
        <f>获奖信息!D413</f>
        <v>0</v>
      </c>
      <c r="E415">
        <f>获奖信息!E413</f>
        <v>0</v>
      </c>
      <c r="F415">
        <f>获奖信息!F413</f>
        <v>0</v>
      </c>
      <c r="G415">
        <f>获奖信息!G413</f>
        <v>0</v>
      </c>
      <c r="H415">
        <f>获奖信息!H413</f>
        <v>0</v>
      </c>
      <c r="I415">
        <f>获奖信息!I413</f>
        <v>0</v>
      </c>
      <c r="J415">
        <f>获奖信息!J413</f>
        <v>0</v>
      </c>
      <c r="K415">
        <f>获奖信息!K413</f>
        <v>0</v>
      </c>
      <c r="L415">
        <f>获奖信息!L413</f>
        <v>0</v>
      </c>
      <c r="M415">
        <f>获奖信息!M413</f>
        <v>0</v>
      </c>
      <c r="N415">
        <f>获奖信息!N413</f>
        <v>0</v>
      </c>
      <c r="O415">
        <f>获奖信息!O413</f>
        <v>0</v>
      </c>
    </row>
    <row r="416" spans="1:15" x14ac:dyDescent="0.2">
      <c r="A416">
        <f>获奖信息!A414</f>
        <v>0</v>
      </c>
      <c r="B416">
        <f>获奖信息!B414</f>
        <v>0</v>
      </c>
      <c r="C416">
        <f>获奖信息!C414</f>
        <v>0</v>
      </c>
      <c r="D416">
        <f>获奖信息!D414</f>
        <v>0</v>
      </c>
      <c r="E416">
        <f>获奖信息!E414</f>
        <v>0</v>
      </c>
      <c r="F416">
        <f>获奖信息!F414</f>
        <v>0</v>
      </c>
      <c r="G416">
        <f>获奖信息!G414</f>
        <v>0</v>
      </c>
      <c r="H416">
        <f>获奖信息!H414</f>
        <v>0</v>
      </c>
      <c r="I416">
        <f>获奖信息!I414</f>
        <v>0</v>
      </c>
      <c r="J416">
        <f>获奖信息!J414</f>
        <v>0</v>
      </c>
      <c r="K416">
        <f>获奖信息!K414</f>
        <v>0</v>
      </c>
      <c r="L416">
        <f>获奖信息!L414</f>
        <v>0</v>
      </c>
      <c r="M416">
        <f>获奖信息!M414</f>
        <v>0</v>
      </c>
      <c r="N416">
        <f>获奖信息!N414</f>
        <v>0</v>
      </c>
      <c r="O416">
        <f>获奖信息!O414</f>
        <v>0</v>
      </c>
    </row>
    <row r="417" spans="1:15" x14ac:dyDescent="0.2">
      <c r="A417">
        <f>获奖信息!A415</f>
        <v>0</v>
      </c>
      <c r="B417">
        <f>获奖信息!B415</f>
        <v>0</v>
      </c>
      <c r="C417">
        <f>获奖信息!C415</f>
        <v>0</v>
      </c>
      <c r="D417">
        <f>获奖信息!D415</f>
        <v>0</v>
      </c>
      <c r="E417">
        <f>获奖信息!E415</f>
        <v>0</v>
      </c>
      <c r="F417">
        <f>获奖信息!F415</f>
        <v>0</v>
      </c>
      <c r="G417">
        <f>获奖信息!G415</f>
        <v>0</v>
      </c>
      <c r="H417">
        <f>获奖信息!H415</f>
        <v>0</v>
      </c>
      <c r="I417">
        <f>获奖信息!I415</f>
        <v>0</v>
      </c>
      <c r="J417">
        <f>获奖信息!J415</f>
        <v>0</v>
      </c>
      <c r="K417">
        <f>获奖信息!K415</f>
        <v>0</v>
      </c>
      <c r="L417">
        <f>获奖信息!L415</f>
        <v>0</v>
      </c>
      <c r="M417">
        <f>获奖信息!M415</f>
        <v>0</v>
      </c>
      <c r="N417">
        <f>获奖信息!N415</f>
        <v>0</v>
      </c>
      <c r="O417">
        <f>获奖信息!O415</f>
        <v>0</v>
      </c>
    </row>
    <row r="418" spans="1:15" x14ac:dyDescent="0.2">
      <c r="A418">
        <f>获奖信息!A416</f>
        <v>0</v>
      </c>
      <c r="B418">
        <f>获奖信息!B416</f>
        <v>0</v>
      </c>
      <c r="C418">
        <f>获奖信息!C416</f>
        <v>0</v>
      </c>
      <c r="D418">
        <f>获奖信息!D416</f>
        <v>0</v>
      </c>
      <c r="E418">
        <f>获奖信息!E416</f>
        <v>0</v>
      </c>
      <c r="F418">
        <f>获奖信息!F416</f>
        <v>0</v>
      </c>
      <c r="G418">
        <f>获奖信息!G416</f>
        <v>0</v>
      </c>
      <c r="H418">
        <f>获奖信息!H416</f>
        <v>0</v>
      </c>
      <c r="I418">
        <f>获奖信息!I416</f>
        <v>0</v>
      </c>
      <c r="J418">
        <f>获奖信息!J416</f>
        <v>0</v>
      </c>
      <c r="K418">
        <f>获奖信息!K416</f>
        <v>0</v>
      </c>
      <c r="L418">
        <f>获奖信息!L416</f>
        <v>0</v>
      </c>
      <c r="M418">
        <f>获奖信息!M416</f>
        <v>0</v>
      </c>
      <c r="N418">
        <f>获奖信息!N416</f>
        <v>0</v>
      </c>
      <c r="O418">
        <f>获奖信息!O416</f>
        <v>0</v>
      </c>
    </row>
    <row r="419" spans="1:15" x14ac:dyDescent="0.2">
      <c r="A419">
        <f>获奖信息!A417</f>
        <v>0</v>
      </c>
      <c r="B419">
        <f>获奖信息!B417</f>
        <v>0</v>
      </c>
      <c r="C419">
        <f>获奖信息!C417</f>
        <v>0</v>
      </c>
      <c r="D419">
        <f>获奖信息!D417</f>
        <v>0</v>
      </c>
      <c r="E419">
        <f>获奖信息!E417</f>
        <v>0</v>
      </c>
      <c r="F419">
        <f>获奖信息!F417</f>
        <v>0</v>
      </c>
      <c r="G419">
        <f>获奖信息!G417</f>
        <v>0</v>
      </c>
      <c r="H419">
        <f>获奖信息!H417</f>
        <v>0</v>
      </c>
      <c r="I419">
        <f>获奖信息!I417</f>
        <v>0</v>
      </c>
      <c r="J419">
        <f>获奖信息!J417</f>
        <v>0</v>
      </c>
      <c r="K419">
        <f>获奖信息!K417</f>
        <v>0</v>
      </c>
      <c r="L419">
        <f>获奖信息!L417</f>
        <v>0</v>
      </c>
      <c r="M419">
        <f>获奖信息!M417</f>
        <v>0</v>
      </c>
      <c r="N419">
        <f>获奖信息!N417</f>
        <v>0</v>
      </c>
      <c r="O419">
        <f>获奖信息!O417</f>
        <v>0</v>
      </c>
    </row>
    <row r="420" spans="1:15" x14ac:dyDescent="0.2">
      <c r="A420">
        <f>获奖信息!A418</f>
        <v>0</v>
      </c>
      <c r="B420">
        <f>获奖信息!B418</f>
        <v>0</v>
      </c>
      <c r="C420">
        <f>获奖信息!C418</f>
        <v>0</v>
      </c>
      <c r="D420">
        <f>获奖信息!D418</f>
        <v>0</v>
      </c>
      <c r="E420">
        <f>获奖信息!E418</f>
        <v>0</v>
      </c>
      <c r="F420">
        <f>获奖信息!F418</f>
        <v>0</v>
      </c>
      <c r="G420">
        <f>获奖信息!G418</f>
        <v>0</v>
      </c>
      <c r="H420">
        <f>获奖信息!H418</f>
        <v>0</v>
      </c>
      <c r="I420">
        <f>获奖信息!I418</f>
        <v>0</v>
      </c>
      <c r="J420">
        <f>获奖信息!J418</f>
        <v>0</v>
      </c>
      <c r="K420">
        <f>获奖信息!K418</f>
        <v>0</v>
      </c>
      <c r="L420">
        <f>获奖信息!L418</f>
        <v>0</v>
      </c>
      <c r="M420">
        <f>获奖信息!M418</f>
        <v>0</v>
      </c>
      <c r="N420">
        <f>获奖信息!N418</f>
        <v>0</v>
      </c>
      <c r="O420">
        <f>获奖信息!O418</f>
        <v>0</v>
      </c>
    </row>
    <row r="421" spans="1:15" x14ac:dyDescent="0.2">
      <c r="A421">
        <f>获奖信息!A419</f>
        <v>0</v>
      </c>
      <c r="B421">
        <f>获奖信息!B419</f>
        <v>0</v>
      </c>
      <c r="C421">
        <f>获奖信息!C419</f>
        <v>0</v>
      </c>
      <c r="D421">
        <f>获奖信息!D419</f>
        <v>0</v>
      </c>
      <c r="E421">
        <f>获奖信息!E419</f>
        <v>0</v>
      </c>
      <c r="F421">
        <f>获奖信息!F419</f>
        <v>0</v>
      </c>
      <c r="G421">
        <f>获奖信息!G419</f>
        <v>0</v>
      </c>
      <c r="H421">
        <f>获奖信息!H419</f>
        <v>0</v>
      </c>
      <c r="I421">
        <f>获奖信息!I419</f>
        <v>0</v>
      </c>
      <c r="J421">
        <f>获奖信息!J419</f>
        <v>0</v>
      </c>
      <c r="K421">
        <f>获奖信息!K419</f>
        <v>0</v>
      </c>
      <c r="L421">
        <f>获奖信息!L419</f>
        <v>0</v>
      </c>
      <c r="M421">
        <f>获奖信息!M419</f>
        <v>0</v>
      </c>
      <c r="N421">
        <f>获奖信息!N419</f>
        <v>0</v>
      </c>
      <c r="O421">
        <f>获奖信息!O419</f>
        <v>0</v>
      </c>
    </row>
    <row r="422" spans="1:15" x14ac:dyDescent="0.2">
      <c r="A422">
        <f>获奖信息!A420</f>
        <v>0</v>
      </c>
      <c r="B422">
        <f>获奖信息!B420</f>
        <v>0</v>
      </c>
      <c r="C422">
        <f>获奖信息!C420</f>
        <v>0</v>
      </c>
      <c r="D422">
        <f>获奖信息!D420</f>
        <v>0</v>
      </c>
      <c r="E422">
        <f>获奖信息!E420</f>
        <v>0</v>
      </c>
      <c r="F422">
        <f>获奖信息!F420</f>
        <v>0</v>
      </c>
      <c r="G422">
        <f>获奖信息!G420</f>
        <v>0</v>
      </c>
      <c r="H422">
        <f>获奖信息!H420</f>
        <v>0</v>
      </c>
      <c r="I422">
        <f>获奖信息!I420</f>
        <v>0</v>
      </c>
      <c r="J422">
        <f>获奖信息!J420</f>
        <v>0</v>
      </c>
      <c r="K422">
        <f>获奖信息!K420</f>
        <v>0</v>
      </c>
      <c r="L422">
        <f>获奖信息!L420</f>
        <v>0</v>
      </c>
      <c r="M422">
        <f>获奖信息!M420</f>
        <v>0</v>
      </c>
      <c r="N422">
        <f>获奖信息!N420</f>
        <v>0</v>
      </c>
      <c r="O422">
        <f>获奖信息!O420</f>
        <v>0</v>
      </c>
    </row>
    <row r="423" spans="1:15" x14ac:dyDescent="0.2">
      <c r="A423">
        <f>获奖信息!A421</f>
        <v>0</v>
      </c>
      <c r="B423">
        <f>获奖信息!B421</f>
        <v>0</v>
      </c>
      <c r="C423">
        <f>获奖信息!C421</f>
        <v>0</v>
      </c>
      <c r="D423">
        <f>获奖信息!D421</f>
        <v>0</v>
      </c>
      <c r="E423">
        <f>获奖信息!E421</f>
        <v>0</v>
      </c>
      <c r="F423">
        <f>获奖信息!F421</f>
        <v>0</v>
      </c>
      <c r="G423">
        <f>获奖信息!G421</f>
        <v>0</v>
      </c>
      <c r="H423">
        <f>获奖信息!H421</f>
        <v>0</v>
      </c>
      <c r="I423">
        <f>获奖信息!I421</f>
        <v>0</v>
      </c>
      <c r="J423">
        <f>获奖信息!J421</f>
        <v>0</v>
      </c>
      <c r="K423">
        <f>获奖信息!K421</f>
        <v>0</v>
      </c>
      <c r="L423">
        <f>获奖信息!L421</f>
        <v>0</v>
      </c>
      <c r="M423">
        <f>获奖信息!M421</f>
        <v>0</v>
      </c>
      <c r="N423">
        <f>获奖信息!N421</f>
        <v>0</v>
      </c>
      <c r="O423">
        <f>获奖信息!O421</f>
        <v>0</v>
      </c>
    </row>
    <row r="424" spans="1:15" x14ac:dyDescent="0.2">
      <c r="A424">
        <f>获奖信息!A422</f>
        <v>0</v>
      </c>
      <c r="B424">
        <f>获奖信息!B422</f>
        <v>0</v>
      </c>
      <c r="C424">
        <f>获奖信息!C422</f>
        <v>0</v>
      </c>
      <c r="D424">
        <f>获奖信息!D422</f>
        <v>0</v>
      </c>
      <c r="E424">
        <f>获奖信息!E422</f>
        <v>0</v>
      </c>
      <c r="F424">
        <f>获奖信息!F422</f>
        <v>0</v>
      </c>
      <c r="G424">
        <f>获奖信息!G422</f>
        <v>0</v>
      </c>
      <c r="H424">
        <f>获奖信息!H422</f>
        <v>0</v>
      </c>
      <c r="I424">
        <f>获奖信息!I422</f>
        <v>0</v>
      </c>
      <c r="J424">
        <f>获奖信息!J422</f>
        <v>0</v>
      </c>
      <c r="K424">
        <f>获奖信息!K422</f>
        <v>0</v>
      </c>
      <c r="L424">
        <f>获奖信息!L422</f>
        <v>0</v>
      </c>
      <c r="M424">
        <f>获奖信息!M422</f>
        <v>0</v>
      </c>
      <c r="N424">
        <f>获奖信息!N422</f>
        <v>0</v>
      </c>
      <c r="O424">
        <f>获奖信息!O422</f>
        <v>0</v>
      </c>
    </row>
    <row r="425" spans="1:15" x14ac:dyDescent="0.2">
      <c r="A425">
        <f>获奖信息!A423</f>
        <v>0</v>
      </c>
      <c r="B425">
        <f>获奖信息!B423</f>
        <v>0</v>
      </c>
      <c r="C425">
        <f>获奖信息!C423</f>
        <v>0</v>
      </c>
      <c r="D425">
        <f>获奖信息!D423</f>
        <v>0</v>
      </c>
      <c r="E425">
        <f>获奖信息!E423</f>
        <v>0</v>
      </c>
      <c r="F425">
        <f>获奖信息!F423</f>
        <v>0</v>
      </c>
      <c r="G425">
        <f>获奖信息!G423</f>
        <v>0</v>
      </c>
      <c r="H425">
        <f>获奖信息!H423</f>
        <v>0</v>
      </c>
      <c r="I425">
        <f>获奖信息!I423</f>
        <v>0</v>
      </c>
      <c r="J425">
        <f>获奖信息!J423</f>
        <v>0</v>
      </c>
      <c r="K425">
        <f>获奖信息!K423</f>
        <v>0</v>
      </c>
      <c r="L425">
        <f>获奖信息!L423</f>
        <v>0</v>
      </c>
      <c r="M425">
        <f>获奖信息!M423</f>
        <v>0</v>
      </c>
      <c r="N425">
        <f>获奖信息!N423</f>
        <v>0</v>
      </c>
      <c r="O425">
        <f>获奖信息!O423</f>
        <v>0</v>
      </c>
    </row>
    <row r="426" spans="1:15" x14ac:dyDescent="0.2">
      <c r="A426">
        <f>获奖信息!A424</f>
        <v>0</v>
      </c>
      <c r="B426">
        <f>获奖信息!B424</f>
        <v>0</v>
      </c>
      <c r="C426">
        <f>获奖信息!C424</f>
        <v>0</v>
      </c>
      <c r="D426">
        <f>获奖信息!D424</f>
        <v>0</v>
      </c>
      <c r="E426">
        <f>获奖信息!E424</f>
        <v>0</v>
      </c>
      <c r="F426">
        <f>获奖信息!F424</f>
        <v>0</v>
      </c>
      <c r="G426">
        <f>获奖信息!G424</f>
        <v>0</v>
      </c>
      <c r="H426">
        <f>获奖信息!H424</f>
        <v>0</v>
      </c>
      <c r="I426">
        <f>获奖信息!I424</f>
        <v>0</v>
      </c>
      <c r="J426">
        <f>获奖信息!J424</f>
        <v>0</v>
      </c>
      <c r="K426">
        <f>获奖信息!K424</f>
        <v>0</v>
      </c>
      <c r="L426">
        <f>获奖信息!L424</f>
        <v>0</v>
      </c>
      <c r="M426">
        <f>获奖信息!M424</f>
        <v>0</v>
      </c>
      <c r="N426">
        <f>获奖信息!N424</f>
        <v>0</v>
      </c>
      <c r="O426">
        <f>获奖信息!O424</f>
        <v>0</v>
      </c>
    </row>
    <row r="427" spans="1:15" x14ac:dyDescent="0.2">
      <c r="A427">
        <f>获奖信息!A425</f>
        <v>0</v>
      </c>
      <c r="B427">
        <f>获奖信息!B425</f>
        <v>0</v>
      </c>
      <c r="C427">
        <f>获奖信息!C425</f>
        <v>0</v>
      </c>
      <c r="D427">
        <f>获奖信息!D425</f>
        <v>0</v>
      </c>
      <c r="E427">
        <f>获奖信息!E425</f>
        <v>0</v>
      </c>
      <c r="F427">
        <f>获奖信息!F425</f>
        <v>0</v>
      </c>
      <c r="G427">
        <f>获奖信息!G425</f>
        <v>0</v>
      </c>
      <c r="H427">
        <f>获奖信息!H425</f>
        <v>0</v>
      </c>
      <c r="I427">
        <f>获奖信息!I425</f>
        <v>0</v>
      </c>
      <c r="J427">
        <f>获奖信息!J425</f>
        <v>0</v>
      </c>
      <c r="K427">
        <f>获奖信息!K425</f>
        <v>0</v>
      </c>
      <c r="L427">
        <f>获奖信息!L425</f>
        <v>0</v>
      </c>
      <c r="M427">
        <f>获奖信息!M425</f>
        <v>0</v>
      </c>
      <c r="N427">
        <f>获奖信息!N425</f>
        <v>0</v>
      </c>
      <c r="O427">
        <f>获奖信息!O425</f>
        <v>0</v>
      </c>
    </row>
    <row r="428" spans="1:15" x14ac:dyDescent="0.2">
      <c r="A428">
        <f>获奖信息!A426</f>
        <v>0</v>
      </c>
      <c r="B428">
        <f>获奖信息!B426</f>
        <v>0</v>
      </c>
      <c r="C428">
        <f>获奖信息!C426</f>
        <v>0</v>
      </c>
      <c r="D428">
        <f>获奖信息!D426</f>
        <v>0</v>
      </c>
      <c r="E428">
        <f>获奖信息!E426</f>
        <v>0</v>
      </c>
      <c r="F428">
        <f>获奖信息!F426</f>
        <v>0</v>
      </c>
      <c r="G428">
        <f>获奖信息!G426</f>
        <v>0</v>
      </c>
      <c r="H428">
        <f>获奖信息!H426</f>
        <v>0</v>
      </c>
      <c r="I428">
        <f>获奖信息!I426</f>
        <v>0</v>
      </c>
      <c r="J428">
        <f>获奖信息!J426</f>
        <v>0</v>
      </c>
      <c r="K428">
        <f>获奖信息!K426</f>
        <v>0</v>
      </c>
      <c r="L428">
        <f>获奖信息!L426</f>
        <v>0</v>
      </c>
      <c r="M428">
        <f>获奖信息!M426</f>
        <v>0</v>
      </c>
      <c r="N428">
        <f>获奖信息!N426</f>
        <v>0</v>
      </c>
      <c r="O428">
        <f>获奖信息!O426</f>
        <v>0</v>
      </c>
    </row>
    <row r="429" spans="1:15" x14ac:dyDescent="0.2">
      <c r="A429">
        <f>获奖信息!A427</f>
        <v>0</v>
      </c>
      <c r="B429">
        <f>获奖信息!B427</f>
        <v>0</v>
      </c>
      <c r="C429">
        <f>获奖信息!C427</f>
        <v>0</v>
      </c>
      <c r="D429">
        <f>获奖信息!D427</f>
        <v>0</v>
      </c>
      <c r="E429">
        <f>获奖信息!E427</f>
        <v>0</v>
      </c>
      <c r="F429">
        <f>获奖信息!F427</f>
        <v>0</v>
      </c>
      <c r="G429">
        <f>获奖信息!G427</f>
        <v>0</v>
      </c>
      <c r="H429">
        <f>获奖信息!H427</f>
        <v>0</v>
      </c>
      <c r="I429">
        <f>获奖信息!I427</f>
        <v>0</v>
      </c>
      <c r="J429">
        <f>获奖信息!J427</f>
        <v>0</v>
      </c>
      <c r="K429">
        <f>获奖信息!K427</f>
        <v>0</v>
      </c>
      <c r="L429">
        <f>获奖信息!L427</f>
        <v>0</v>
      </c>
      <c r="M429">
        <f>获奖信息!M427</f>
        <v>0</v>
      </c>
      <c r="N429">
        <f>获奖信息!N427</f>
        <v>0</v>
      </c>
      <c r="O429">
        <f>获奖信息!O427</f>
        <v>0</v>
      </c>
    </row>
    <row r="430" spans="1:15" x14ac:dyDescent="0.2">
      <c r="A430">
        <f>获奖信息!A428</f>
        <v>0</v>
      </c>
      <c r="B430">
        <f>获奖信息!B428</f>
        <v>0</v>
      </c>
      <c r="C430">
        <f>获奖信息!C428</f>
        <v>0</v>
      </c>
      <c r="D430">
        <f>获奖信息!D428</f>
        <v>0</v>
      </c>
      <c r="E430">
        <f>获奖信息!E428</f>
        <v>0</v>
      </c>
      <c r="F430">
        <f>获奖信息!F428</f>
        <v>0</v>
      </c>
      <c r="G430">
        <f>获奖信息!G428</f>
        <v>0</v>
      </c>
      <c r="H430">
        <f>获奖信息!H428</f>
        <v>0</v>
      </c>
      <c r="I430">
        <f>获奖信息!I428</f>
        <v>0</v>
      </c>
      <c r="J430">
        <f>获奖信息!J428</f>
        <v>0</v>
      </c>
      <c r="K430">
        <f>获奖信息!K428</f>
        <v>0</v>
      </c>
      <c r="L430">
        <f>获奖信息!L428</f>
        <v>0</v>
      </c>
      <c r="M430">
        <f>获奖信息!M428</f>
        <v>0</v>
      </c>
      <c r="N430">
        <f>获奖信息!N428</f>
        <v>0</v>
      </c>
      <c r="O430">
        <f>获奖信息!O428</f>
        <v>0</v>
      </c>
    </row>
    <row r="431" spans="1:15" x14ac:dyDescent="0.2">
      <c r="A431">
        <f>获奖信息!A429</f>
        <v>0</v>
      </c>
      <c r="B431">
        <f>获奖信息!B429</f>
        <v>0</v>
      </c>
      <c r="C431">
        <f>获奖信息!C429</f>
        <v>0</v>
      </c>
      <c r="D431">
        <f>获奖信息!D429</f>
        <v>0</v>
      </c>
      <c r="E431">
        <f>获奖信息!E429</f>
        <v>0</v>
      </c>
      <c r="F431">
        <f>获奖信息!F429</f>
        <v>0</v>
      </c>
      <c r="G431">
        <f>获奖信息!G429</f>
        <v>0</v>
      </c>
      <c r="H431">
        <f>获奖信息!H429</f>
        <v>0</v>
      </c>
      <c r="I431">
        <f>获奖信息!I429</f>
        <v>0</v>
      </c>
      <c r="J431">
        <f>获奖信息!J429</f>
        <v>0</v>
      </c>
      <c r="K431">
        <f>获奖信息!K429</f>
        <v>0</v>
      </c>
      <c r="L431">
        <f>获奖信息!L429</f>
        <v>0</v>
      </c>
      <c r="M431">
        <f>获奖信息!M429</f>
        <v>0</v>
      </c>
      <c r="N431">
        <f>获奖信息!N429</f>
        <v>0</v>
      </c>
      <c r="O431">
        <f>获奖信息!O429</f>
        <v>0</v>
      </c>
    </row>
    <row r="432" spans="1:15" x14ac:dyDescent="0.2">
      <c r="A432">
        <f>获奖信息!A430</f>
        <v>0</v>
      </c>
      <c r="B432">
        <f>获奖信息!B430</f>
        <v>0</v>
      </c>
      <c r="C432">
        <f>获奖信息!C430</f>
        <v>0</v>
      </c>
      <c r="D432">
        <f>获奖信息!D430</f>
        <v>0</v>
      </c>
      <c r="E432">
        <f>获奖信息!E430</f>
        <v>0</v>
      </c>
      <c r="F432">
        <f>获奖信息!F430</f>
        <v>0</v>
      </c>
      <c r="G432">
        <f>获奖信息!G430</f>
        <v>0</v>
      </c>
      <c r="H432">
        <f>获奖信息!H430</f>
        <v>0</v>
      </c>
      <c r="I432">
        <f>获奖信息!I430</f>
        <v>0</v>
      </c>
      <c r="J432">
        <f>获奖信息!J430</f>
        <v>0</v>
      </c>
      <c r="K432">
        <f>获奖信息!K430</f>
        <v>0</v>
      </c>
      <c r="L432">
        <f>获奖信息!L430</f>
        <v>0</v>
      </c>
      <c r="M432">
        <f>获奖信息!M430</f>
        <v>0</v>
      </c>
      <c r="N432">
        <f>获奖信息!N430</f>
        <v>0</v>
      </c>
      <c r="O432">
        <f>获奖信息!O430</f>
        <v>0</v>
      </c>
    </row>
    <row r="433" spans="1:15" x14ac:dyDescent="0.2">
      <c r="A433">
        <f>获奖信息!A431</f>
        <v>0</v>
      </c>
      <c r="B433">
        <f>获奖信息!B431</f>
        <v>0</v>
      </c>
      <c r="C433">
        <f>获奖信息!C431</f>
        <v>0</v>
      </c>
      <c r="D433">
        <f>获奖信息!D431</f>
        <v>0</v>
      </c>
      <c r="E433">
        <f>获奖信息!E431</f>
        <v>0</v>
      </c>
      <c r="F433">
        <f>获奖信息!F431</f>
        <v>0</v>
      </c>
      <c r="G433">
        <f>获奖信息!G431</f>
        <v>0</v>
      </c>
      <c r="H433">
        <f>获奖信息!H431</f>
        <v>0</v>
      </c>
      <c r="I433">
        <f>获奖信息!I431</f>
        <v>0</v>
      </c>
      <c r="J433">
        <f>获奖信息!J431</f>
        <v>0</v>
      </c>
      <c r="K433">
        <f>获奖信息!K431</f>
        <v>0</v>
      </c>
      <c r="L433">
        <f>获奖信息!L431</f>
        <v>0</v>
      </c>
      <c r="M433">
        <f>获奖信息!M431</f>
        <v>0</v>
      </c>
      <c r="N433">
        <f>获奖信息!N431</f>
        <v>0</v>
      </c>
      <c r="O433">
        <f>获奖信息!O431</f>
        <v>0</v>
      </c>
    </row>
    <row r="434" spans="1:15" x14ac:dyDescent="0.2">
      <c r="A434">
        <f>获奖信息!A432</f>
        <v>0</v>
      </c>
      <c r="B434">
        <f>获奖信息!B432</f>
        <v>0</v>
      </c>
      <c r="C434">
        <f>获奖信息!C432</f>
        <v>0</v>
      </c>
      <c r="D434">
        <f>获奖信息!D432</f>
        <v>0</v>
      </c>
      <c r="E434">
        <f>获奖信息!E432</f>
        <v>0</v>
      </c>
      <c r="F434">
        <f>获奖信息!F432</f>
        <v>0</v>
      </c>
      <c r="G434">
        <f>获奖信息!G432</f>
        <v>0</v>
      </c>
      <c r="H434">
        <f>获奖信息!H432</f>
        <v>0</v>
      </c>
      <c r="I434">
        <f>获奖信息!I432</f>
        <v>0</v>
      </c>
      <c r="J434">
        <f>获奖信息!J432</f>
        <v>0</v>
      </c>
      <c r="K434">
        <f>获奖信息!K432</f>
        <v>0</v>
      </c>
      <c r="L434">
        <f>获奖信息!L432</f>
        <v>0</v>
      </c>
      <c r="M434">
        <f>获奖信息!M432</f>
        <v>0</v>
      </c>
      <c r="N434">
        <f>获奖信息!N432</f>
        <v>0</v>
      </c>
      <c r="O434">
        <f>获奖信息!O432</f>
        <v>0</v>
      </c>
    </row>
    <row r="435" spans="1:15" x14ac:dyDescent="0.2">
      <c r="A435">
        <f>获奖信息!A433</f>
        <v>0</v>
      </c>
      <c r="B435">
        <f>获奖信息!B433</f>
        <v>0</v>
      </c>
      <c r="C435">
        <f>获奖信息!C433</f>
        <v>0</v>
      </c>
      <c r="D435">
        <f>获奖信息!D433</f>
        <v>0</v>
      </c>
      <c r="E435">
        <f>获奖信息!E433</f>
        <v>0</v>
      </c>
      <c r="F435">
        <f>获奖信息!F433</f>
        <v>0</v>
      </c>
      <c r="G435">
        <f>获奖信息!G433</f>
        <v>0</v>
      </c>
      <c r="H435">
        <f>获奖信息!H433</f>
        <v>0</v>
      </c>
      <c r="I435">
        <f>获奖信息!I433</f>
        <v>0</v>
      </c>
      <c r="J435">
        <f>获奖信息!J433</f>
        <v>0</v>
      </c>
      <c r="K435">
        <f>获奖信息!K433</f>
        <v>0</v>
      </c>
      <c r="L435">
        <f>获奖信息!L433</f>
        <v>0</v>
      </c>
      <c r="M435">
        <f>获奖信息!M433</f>
        <v>0</v>
      </c>
      <c r="N435">
        <f>获奖信息!N433</f>
        <v>0</v>
      </c>
      <c r="O435">
        <f>获奖信息!O433</f>
        <v>0</v>
      </c>
    </row>
    <row r="436" spans="1:15" x14ac:dyDescent="0.2">
      <c r="A436">
        <f>获奖信息!A434</f>
        <v>0</v>
      </c>
      <c r="B436">
        <f>获奖信息!B434</f>
        <v>0</v>
      </c>
      <c r="C436">
        <f>获奖信息!C434</f>
        <v>0</v>
      </c>
      <c r="D436">
        <f>获奖信息!D434</f>
        <v>0</v>
      </c>
      <c r="E436">
        <f>获奖信息!E434</f>
        <v>0</v>
      </c>
      <c r="F436">
        <f>获奖信息!F434</f>
        <v>0</v>
      </c>
      <c r="G436">
        <f>获奖信息!G434</f>
        <v>0</v>
      </c>
      <c r="H436">
        <f>获奖信息!H434</f>
        <v>0</v>
      </c>
      <c r="I436">
        <f>获奖信息!I434</f>
        <v>0</v>
      </c>
      <c r="J436">
        <f>获奖信息!J434</f>
        <v>0</v>
      </c>
      <c r="K436">
        <f>获奖信息!K434</f>
        <v>0</v>
      </c>
      <c r="L436">
        <f>获奖信息!L434</f>
        <v>0</v>
      </c>
      <c r="M436">
        <f>获奖信息!M434</f>
        <v>0</v>
      </c>
      <c r="N436">
        <f>获奖信息!N434</f>
        <v>0</v>
      </c>
      <c r="O436">
        <f>获奖信息!O434</f>
        <v>0</v>
      </c>
    </row>
    <row r="437" spans="1:15" x14ac:dyDescent="0.2">
      <c r="A437">
        <f>获奖信息!A435</f>
        <v>0</v>
      </c>
      <c r="B437">
        <f>获奖信息!B435</f>
        <v>0</v>
      </c>
      <c r="C437">
        <f>获奖信息!C435</f>
        <v>0</v>
      </c>
      <c r="D437">
        <f>获奖信息!D435</f>
        <v>0</v>
      </c>
      <c r="E437">
        <f>获奖信息!E435</f>
        <v>0</v>
      </c>
      <c r="F437">
        <f>获奖信息!F435</f>
        <v>0</v>
      </c>
      <c r="G437">
        <f>获奖信息!G435</f>
        <v>0</v>
      </c>
      <c r="H437">
        <f>获奖信息!H435</f>
        <v>0</v>
      </c>
      <c r="I437">
        <f>获奖信息!I435</f>
        <v>0</v>
      </c>
      <c r="J437">
        <f>获奖信息!J435</f>
        <v>0</v>
      </c>
      <c r="K437">
        <f>获奖信息!K435</f>
        <v>0</v>
      </c>
      <c r="L437">
        <f>获奖信息!L435</f>
        <v>0</v>
      </c>
      <c r="M437">
        <f>获奖信息!M435</f>
        <v>0</v>
      </c>
      <c r="N437">
        <f>获奖信息!N435</f>
        <v>0</v>
      </c>
      <c r="O437">
        <f>获奖信息!O435</f>
        <v>0</v>
      </c>
    </row>
    <row r="438" spans="1:15" x14ac:dyDescent="0.2">
      <c r="A438">
        <f>获奖信息!A436</f>
        <v>0</v>
      </c>
      <c r="B438">
        <f>获奖信息!B436</f>
        <v>0</v>
      </c>
      <c r="C438">
        <f>获奖信息!C436</f>
        <v>0</v>
      </c>
      <c r="D438">
        <f>获奖信息!D436</f>
        <v>0</v>
      </c>
      <c r="E438">
        <f>获奖信息!E436</f>
        <v>0</v>
      </c>
      <c r="F438">
        <f>获奖信息!F436</f>
        <v>0</v>
      </c>
      <c r="G438">
        <f>获奖信息!G436</f>
        <v>0</v>
      </c>
      <c r="H438">
        <f>获奖信息!H436</f>
        <v>0</v>
      </c>
      <c r="I438">
        <f>获奖信息!I436</f>
        <v>0</v>
      </c>
      <c r="J438">
        <f>获奖信息!J436</f>
        <v>0</v>
      </c>
      <c r="K438">
        <f>获奖信息!K436</f>
        <v>0</v>
      </c>
      <c r="L438">
        <f>获奖信息!L436</f>
        <v>0</v>
      </c>
      <c r="M438">
        <f>获奖信息!M436</f>
        <v>0</v>
      </c>
      <c r="N438">
        <f>获奖信息!N436</f>
        <v>0</v>
      </c>
      <c r="O438">
        <f>获奖信息!O436</f>
        <v>0</v>
      </c>
    </row>
    <row r="439" spans="1:15" x14ac:dyDescent="0.2">
      <c r="A439">
        <f>获奖信息!A437</f>
        <v>0</v>
      </c>
      <c r="B439">
        <f>获奖信息!B437</f>
        <v>0</v>
      </c>
      <c r="C439">
        <f>获奖信息!C437</f>
        <v>0</v>
      </c>
      <c r="D439">
        <f>获奖信息!D437</f>
        <v>0</v>
      </c>
      <c r="E439">
        <f>获奖信息!E437</f>
        <v>0</v>
      </c>
      <c r="F439">
        <f>获奖信息!F437</f>
        <v>0</v>
      </c>
      <c r="G439">
        <f>获奖信息!G437</f>
        <v>0</v>
      </c>
      <c r="H439">
        <f>获奖信息!H437</f>
        <v>0</v>
      </c>
      <c r="I439">
        <f>获奖信息!I437</f>
        <v>0</v>
      </c>
      <c r="J439">
        <f>获奖信息!J437</f>
        <v>0</v>
      </c>
      <c r="K439">
        <f>获奖信息!K437</f>
        <v>0</v>
      </c>
      <c r="L439">
        <f>获奖信息!L437</f>
        <v>0</v>
      </c>
      <c r="M439">
        <f>获奖信息!M437</f>
        <v>0</v>
      </c>
      <c r="N439">
        <f>获奖信息!N437</f>
        <v>0</v>
      </c>
      <c r="O439">
        <f>获奖信息!O437</f>
        <v>0</v>
      </c>
    </row>
    <row r="440" spans="1:15" x14ac:dyDescent="0.2">
      <c r="A440">
        <f>获奖信息!A438</f>
        <v>0</v>
      </c>
      <c r="B440">
        <f>获奖信息!B438</f>
        <v>0</v>
      </c>
      <c r="C440">
        <f>获奖信息!C438</f>
        <v>0</v>
      </c>
      <c r="D440">
        <f>获奖信息!D438</f>
        <v>0</v>
      </c>
      <c r="E440">
        <f>获奖信息!E438</f>
        <v>0</v>
      </c>
      <c r="F440">
        <f>获奖信息!F438</f>
        <v>0</v>
      </c>
      <c r="G440">
        <f>获奖信息!G438</f>
        <v>0</v>
      </c>
      <c r="H440">
        <f>获奖信息!H438</f>
        <v>0</v>
      </c>
      <c r="I440">
        <f>获奖信息!I438</f>
        <v>0</v>
      </c>
      <c r="J440">
        <f>获奖信息!J438</f>
        <v>0</v>
      </c>
      <c r="K440">
        <f>获奖信息!K438</f>
        <v>0</v>
      </c>
      <c r="L440">
        <f>获奖信息!L438</f>
        <v>0</v>
      </c>
      <c r="M440">
        <f>获奖信息!M438</f>
        <v>0</v>
      </c>
      <c r="N440">
        <f>获奖信息!N438</f>
        <v>0</v>
      </c>
      <c r="O440">
        <f>获奖信息!O438</f>
        <v>0</v>
      </c>
    </row>
    <row r="441" spans="1:15" x14ac:dyDescent="0.2">
      <c r="A441">
        <f>获奖信息!A439</f>
        <v>0</v>
      </c>
      <c r="B441">
        <f>获奖信息!B439</f>
        <v>0</v>
      </c>
      <c r="C441">
        <f>获奖信息!C439</f>
        <v>0</v>
      </c>
      <c r="D441">
        <f>获奖信息!D439</f>
        <v>0</v>
      </c>
      <c r="E441">
        <f>获奖信息!E439</f>
        <v>0</v>
      </c>
      <c r="F441">
        <f>获奖信息!F439</f>
        <v>0</v>
      </c>
      <c r="G441">
        <f>获奖信息!G439</f>
        <v>0</v>
      </c>
      <c r="H441">
        <f>获奖信息!H439</f>
        <v>0</v>
      </c>
      <c r="I441">
        <f>获奖信息!I439</f>
        <v>0</v>
      </c>
      <c r="J441">
        <f>获奖信息!J439</f>
        <v>0</v>
      </c>
      <c r="K441">
        <f>获奖信息!K439</f>
        <v>0</v>
      </c>
      <c r="L441">
        <f>获奖信息!L439</f>
        <v>0</v>
      </c>
      <c r="M441">
        <f>获奖信息!M439</f>
        <v>0</v>
      </c>
      <c r="N441">
        <f>获奖信息!N439</f>
        <v>0</v>
      </c>
      <c r="O441">
        <f>获奖信息!O439</f>
        <v>0</v>
      </c>
    </row>
    <row r="442" spans="1:15" x14ac:dyDescent="0.2">
      <c r="A442">
        <f>获奖信息!A440</f>
        <v>0</v>
      </c>
      <c r="B442">
        <f>获奖信息!B440</f>
        <v>0</v>
      </c>
      <c r="C442">
        <f>获奖信息!C440</f>
        <v>0</v>
      </c>
      <c r="D442">
        <f>获奖信息!D440</f>
        <v>0</v>
      </c>
      <c r="E442">
        <f>获奖信息!E440</f>
        <v>0</v>
      </c>
      <c r="F442">
        <f>获奖信息!F440</f>
        <v>0</v>
      </c>
      <c r="G442">
        <f>获奖信息!G440</f>
        <v>0</v>
      </c>
      <c r="H442">
        <f>获奖信息!H440</f>
        <v>0</v>
      </c>
      <c r="I442">
        <f>获奖信息!I440</f>
        <v>0</v>
      </c>
      <c r="J442">
        <f>获奖信息!J440</f>
        <v>0</v>
      </c>
      <c r="K442">
        <f>获奖信息!K440</f>
        <v>0</v>
      </c>
      <c r="L442">
        <f>获奖信息!L440</f>
        <v>0</v>
      </c>
      <c r="M442">
        <f>获奖信息!M440</f>
        <v>0</v>
      </c>
      <c r="N442">
        <f>获奖信息!N440</f>
        <v>0</v>
      </c>
      <c r="O442">
        <f>获奖信息!O440</f>
        <v>0</v>
      </c>
    </row>
    <row r="443" spans="1:15" x14ac:dyDescent="0.2">
      <c r="A443">
        <f>获奖信息!A441</f>
        <v>0</v>
      </c>
      <c r="B443">
        <f>获奖信息!B441</f>
        <v>0</v>
      </c>
      <c r="C443">
        <f>获奖信息!C441</f>
        <v>0</v>
      </c>
      <c r="D443">
        <f>获奖信息!D441</f>
        <v>0</v>
      </c>
      <c r="E443">
        <f>获奖信息!E441</f>
        <v>0</v>
      </c>
      <c r="F443">
        <f>获奖信息!F441</f>
        <v>0</v>
      </c>
      <c r="G443">
        <f>获奖信息!G441</f>
        <v>0</v>
      </c>
      <c r="H443">
        <f>获奖信息!H441</f>
        <v>0</v>
      </c>
      <c r="I443">
        <f>获奖信息!I441</f>
        <v>0</v>
      </c>
      <c r="J443">
        <f>获奖信息!J441</f>
        <v>0</v>
      </c>
      <c r="K443">
        <f>获奖信息!K441</f>
        <v>0</v>
      </c>
      <c r="L443">
        <f>获奖信息!L441</f>
        <v>0</v>
      </c>
      <c r="M443">
        <f>获奖信息!M441</f>
        <v>0</v>
      </c>
      <c r="N443">
        <f>获奖信息!N441</f>
        <v>0</v>
      </c>
      <c r="O443">
        <f>获奖信息!O441</f>
        <v>0</v>
      </c>
    </row>
    <row r="444" spans="1:15" x14ac:dyDescent="0.2">
      <c r="A444">
        <f>获奖信息!A442</f>
        <v>0</v>
      </c>
      <c r="B444">
        <f>获奖信息!B442</f>
        <v>0</v>
      </c>
      <c r="C444">
        <f>获奖信息!C442</f>
        <v>0</v>
      </c>
      <c r="D444">
        <f>获奖信息!D442</f>
        <v>0</v>
      </c>
      <c r="E444">
        <f>获奖信息!E442</f>
        <v>0</v>
      </c>
      <c r="F444">
        <f>获奖信息!F442</f>
        <v>0</v>
      </c>
      <c r="G444">
        <f>获奖信息!G442</f>
        <v>0</v>
      </c>
      <c r="H444">
        <f>获奖信息!H442</f>
        <v>0</v>
      </c>
      <c r="I444">
        <f>获奖信息!I442</f>
        <v>0</v>
      </c>
      <c r="J444">
        <f>获奖信息!J442</f>
        <v>0</v>
      </c>
      <c r="K444">
        <f>获奖信息!K442</f>
        <v>0</v>
      </c>
      <c r="L444">
        <f>获奖信息!L442</f>
        <v>0</v>
      </c>
      <c r="M444">
        <f>获奖信息!M442</f>
        <v>0</v>
      </c>
      <c r="N444">
        <f>获奖信息!N442</f>
        <v>0</v>
      </c>
      <c r="O444">
        <f>获奖信息!O442</f>
        <v>0</v>
      </c>
    </row>
    <row r="445" spans="1:15" x14ac:dyDescent="0.2">
      <c r="A445">
        <f>获奖信息!A443</f>
        <v>0</v>
      </c>
      <c r="B445">
        <f>获奖信息!B443</f>
        <v>0</v>
      </c>
      <c r="C445">
        <f>获奖信息!C443</f>
        <v>0</v>
      </c>
      <c r="D445">
        <f>获奖信息!D443</f>
        <v>0</v>
      </c>
      <c r="E445">
        <f>获奖信息!E443</f>
        <v>0</v>
      </c>
      <c r="F445">
        <f>获奖信息!F443</f>
        <v>0</v>
      </c>
      <c r="G445">
        <f>获奖信息!G443</f>
        <v>0</v>
      </c>
      <c r="H445">
        <f>获奖信息!H443</f>
        <v>0</v>
      </c>
      <c r="I445">
        <f>获奖信息!I443</f>
        <v>0</v>
      </c>
      <c r="J445">
        <f>获奖信息!J443</f>
        <v>0</v>
      </c>
      <c r="K445">
        <f>获奖信息!K443</f>
        <v>0</v>
      </c>
      <c r="L445">
        <f>获奖信息!L443</f>
        <v>0</v>
      </c>
      <c r="M445">
        <f>获奖信息!M443</f>
        <v>0</v>
      </c>
      <c r="N445">
        <f>获奖信息!N443</f>
        <v>0</v>
      </c>
      <c r="O445">
        <f>获奖信息!O443</f>
        <v>0</v>
      </c>
    </row>
    <row r="446" spans="1:15" x14ac:dyDescent="0.2">
      <c r="A446">
        <f>获奖信息!A444</f>
        <v>0</v>
      </c>
      <c r="B446">
        <f>获奖信息!B444</f>
        <v>0</v>
      </c>
      <c r="C446">
        <f>获奖信息!C444</f>
        <v>0</v>
      </c>
      <c r="D446">
        <f>获奖信息!D444</f>
        <v>0</v>
      </c>
      <c r="E446">
        <f>获奖信息!E444</f>
        <v>0</v>
      </c>
      <c r="F446">
        <f>获奖信息!F444</f>
        <v>0</v>
      </c>
      <c r="G446">
        <f>获奖信息!G444</f>
        <v>0</v>
      </c>
      <c r="H446">
        <f>获奖信息!H444</f>
        <v>0</v>
      </c>
      <c r="I446">
        <f>获奖信息!I444</f>
        <v>0</v>
      </c>
      <c r="J446">
        <f>获奖信息!J444</f>
        <v>0</v>
      </c>
      <c r="K446">
        <f>获奖信息!K444</f>
        <v>0</v>
      </c>
      <c r="L446">
        <f>获奖信息!L444</f>
        <v>0</v>
      </c>
      <c r="M446">
        <f>获奖信息!M444</f>
        <v>0</v>
      </c>
      <c r="N446">
        <f>获奖信息!N444</f>
        <v>0</v>
      </c>
      <c r="O446">
        <f>获奖信息!O444</f>
        <v>0</v>
      </c>
    </row>
    <row r="447" spans="1:15" x14ac:dyDescent="0.2">
      <c r="A447">
        <f>获奖信息!A445</f>
        <v>0</v>
      </c>
      <c r="B447">
        <f>获奖信息!B445</f>
        <v>0</v>
      </c>
      <c r="C447">
        <f>获奖信息!C445</f>
        <v>0</v>
      </c>
      <c r="D447">
        <f>获奖信息!D445</f>
        <v>0</v>
      </c>
      <c r="E447">
        <f>获奖信息!E445</f>
        <v>0</v>
      </c>
      <c r="F447">
        <f>获奖信息!F445</f>
        <v>0</v>
      </c>
      <c r="G447">
        <f>获奖信息!G445</f>
        <v>0</v>
      </c>
      <c r="H447">
        <f>获奖信息!H445</f>
        <v>0</v>
      </c>
      <c r="I447">
        <f>获奖信息!I445</f>
        <v>0</v>
      </c>
      <c r="J447">
        <f>获奖信息!J445</f>
        <v>0</v>
      </c>
      <c r="K447">
        <f>获奖信息!K445</f>
        <v>0</v>
      </c>
      <c r="L447">
        <f>获奖信息!L445</f>
        <v>0</v>
      </c>
      <c r="M447">
        <f>获奖信息!M445</f>
        <v>0</v>
      </c>
      <c r="N447">
        <f>获奖信息!N445</f>
        <v>0</v>
      </c>
      <c r="O447">
        <f>获奖信息!O445</f>
        <v>0</v>
      </c>
    </row>
    <row r="448" spans="1:15" x14ac:dyDescent="0.2">
      <c r="A448">
        <f>获奖信息!A446</f>
        <v>0</v>
      </c>
      <c r="B448">
        <f>获奖信息!B446</f>
        <v>0</v>
      </c>
      <c r="C448">
        <f>获奖信息!C446</f>
        <v>0</v>
      </c>
      <c r="D448">
        <f>获奖信息!D446</f>
        <v>0</v>
      </c>
      <c r="E448">
        <f>获奖信息!E446</f>
        <v>0</v>
      </c>
      <c r="F448">
        <f>获奖信息!F446</f>
        <v>0</v>
      </c>
      <c r="G448">
        <f>获奖信息!G446</f>
        <v>0</v>
      </c>
      <c r="H448">
        <f>获奖信息!H446</f>
        <v>0</v>
      </c>
      <c r="I448">
        <f>获奖信息!I446</f>
        <v>0</v>
      </c>
      <c r="J448">
        <f>获奖信息!J446</f>
        <v>0</v>
      </c>
      <c r="K448">
        <f>获奖信息!K446</f>
        <v>0</v>
      </c>
      <c r="L448">
        <f>获奖信息!L446</f>
        <v>0</v>
      </c>
      <c r="M448">
        <f>获奖信息!M446</f>
        <v>0</v>
      </c>
      <c r="N448">
        <f>获奖信息!N446</f>
        <v>0</v>
      </c>
      <c r="O448">
        <f>获奖信息!O446</f>
        <v>0</v>
      </c>
    </row>
    <row r="449" spans="1:15" x14ac:dyDescent="0.2">
      <c r="A449">
        <f>获奖信息!A447</f>
        <v>0</v>
      </c>
      <c r="B449">
        <f>获奖信息!B447</f>
        <v>0</v>
      </c>
      <c r="C449">
        <f>获奖信息!C447</f>
        <v>0</v>
      </c>
      <c r="D449">
        <f>获奖信息!D447</f>
        <v>0</v>
      </c>
      <c r="E449">
        <f>获奖信息!E447</f>
        <v>0</v>
      </c>
      <c r="F449">
        <f>获奖信息!F447</f>
        <v>0</v>
      </c>
      <c r="G449">
        <f>获奖信息!G447</f>
        <v>0</v>
      </c>
      <c r="H449">
        <f>获奖信息!H447</f>
        <v>0</v>
      </c>
      <c r="I449">
        <f>获奖信息!I447</f>
        <v>0</v>
      </c>
      <c r="J449">
        <f>获奖信息!J447</f>
        <v>0</v>
      </c>
      <c r="K449">
        <f>获奖信息!K447</f>
        <v>0</v>
      </c>
      <c r="L449">
        <f>获奖信息!L447</f>
        <v>0</v>
      </c>
      <c r="M449">
        <f>获奖信息!M447</f>
        <v>0</v>
      </c>
      <c r="N449">
        <f>获奖信息!N447</f>
        <v>0</v>
      </c>
      <c r="O449">
        <f>获奖信息!O447</f>
        <v>0</v>
      </c>
    </row>
    <row r="450" spans="1:15" x14ac:dyDescent="0.2">
      <c r="A450">
        <f>获奖信息!A448</f>
        <v>0</v>
      </c>
      <c r="B450">
        <f>获奖信息!B448</f>
        <v>0</v>
      </c>
      <c r="C450">
        <f>获奖信息!C448</f>
        <v>0</v>
      </c>
      <c r="D450">
        <f>获奖信息!D448</f>
        <v>0</v>
      </c>
      <c r="E450">
        <f>获奖信息!E448</f>
        <v>0</v>
      </c>
      <c r="F450">
        <f>获奖信息!F448</f>
        <v>0</v>
      </c>
      <c r="G450">
        <f>获奖信息!G448</f>
        <v>0</v>
      </c>
      <c r="H450">
        <f>获奖信息!H448</f>
        <v>0</v>
      </c>
      <c r="I450">
        <f>获奖信息!I448</f>
        <v>0</v>
      </c>
      <c r="J450">
        <f>获奖信息!J448</f>
        <v>0</v>
      </c>
      <c r="K450">
        <f>获奖信息!K448</f>
        <v>0</v>
      </c>
      <c r="L450">
        <f>获奖信息!L448</f>
        <v>0</v>
      </c>
      <c r="M450">
        <f>获奖信息!M448</f>
        <v>0</v>
      </c>
      <c r="N450">
        <f>获奖信息!N448</f>
        <v>0</v>
      </c>
      <c r="O450">
        <f>获奖信息!O448</f>
        <v>0</v>
      </c>
    </row>
    <row r="451" spans="1:15" x14ac:dyDescent="0.2">
      <c r="A451">
        <f>获奖信息!A449</f>
        <v>0</v>
      </c>
      <c r="B451">
        <f>获奖信息!B449</f>
        <v>0</v>
      </c>
      <c r="C451">
        <f>获奖信息!C449</f>
        <v>0</v>
      </c>
      <c r="D451">
        <f>获奖信息!D449</f>
        <v>0</v>
      </c>
      <c r="E451">
        <f>获奖信息!E449</f>
        <v>0</v>
      </c>
      <c r="F451">
        <f>获奖信息!F449</f>
        <v>0</v>
      </c>
      <c r="G451">
        <f>获奖信息!G449</f>
        <v>0</v>
      </c>
      <c r="H451">
        <f>获奖信息!H449</f>
        <v>0</v>
      </c>
      <c r="I451">
        <f>获奖信息!I449</f>
        <v>0</v>
      </c>
      <c r="J451">
        <f>获奖信息!J449</f>
        <v>0</v>
      </c>
      <c r="K451">
        <f>获奖信息!K449</f>
        <v>0</v>
      </c>
      <c r="L451">
        <f>获奖信息!L449</f>
        <v>0</v>
      </c>
      <c r="M451">
        <f>获奖信息!M449</f>
        <v>0</v>
      </c>
      <c r="N451">
        <f>获奖信息!N449</f>
        <v>0</v>
      </c>
      <c r="O451">
        <f>获奖信息!O449</f>
        <v>0</v>
      </c>
    </row>
    <row r="452" spans="1:15" x14ac:dyDescent="0.2">
      <c r="A452">
        <f>获奖信息!A450</f>
        <v>0</v>
      </c>
      <c r="B452">
        <f>获奖信息!B450</f>
        <v>0</v>
      </c>
      <c r="C452">
        <f>获奖信息!C450</f>
        <v>0</v>
      </c>
      <c r="D452">
        <f>获奖信息!D450</f>
        <v>0</v>
      </c>
      <c r="E452">
        <f>获奖信息!E450</f>
        <v>0</v>
      </c>
      <c r="F452">
        <f>获奖信息!F450</f>
        <v>0</v>
      </c>
      <c r="G452">
        <f>获奖信息!G450</f>
        <v>0</v>
      </c>
      <c r="H452">
        <f>获奖信息!H450</f>
        <v>0</v>
      </c>
      <c r="I452">
        <f>获奖信息!I450</f>
        <v>0</v>
      </c>
      <c r="J452">
        <f>获奖信息!J450</f>
        <v>0</v>
      </c>
      <c r="K452">
        <f>获奖信息!K450</f>
        <v>0</v>
      </c>
      <c r="L452">
        <f>获奖信息!L450</f>
        <v>0</v>
      </c>
      <c r="M452">
        <f>获奖信息!M450</f>
        <v>0</v>
      </c>
      <c r="N452">
        <f>获奖信息!N450</f>
        <v>0</v>
      </c>
      <c r="O452">
        <f>获奖信息!O450</f>
        <v>0</v>
      </c>
    </row>
    <row r="453" spans="1:15" x14ac:dyDescent="0.2">
      <c r="A453">
        <f>获奖信息!A451</f>
        <v>0</v>
      </c>
      <c r="B453">
        <f>获奖信息!B451</f>
        <v>0</v>
      </c>
      <c r="C453">
        <f>获奖信息!C451</f>
        <v>0</v>
      </c>
      <c r="D453">
        <f>获奖信息!D451</f>
        <v>0</v>
      </c>
      <c r="E453">
        <f>获奖信息!E451</f>
        <v>0</v>
      </c>
      <c r="F453">
        <f>获奖信息!F451</f>
        <v>0</v>
      </c>
      <c r="G453">
        <f>获奖信息!G451</f>
        <v>0</v>
      </c>
      <c r="H453">
        <f>获奖信息!H451</f>
        <v>0</v>
      </c>
      <c r="I453">
        <f>获奖信息!I451</f>
        <v>0</v>
      </c>
      <c r="J453">
        <f>获奖信息!J451</f>
        <v>0</v>
      </c>
      <c r="K453">
        <f>获奖信息!K451</f>
        <v>0</v>
      </c>
      <c r="L453">
        <f>获奖信息!L451</f>
        <v>0</v>
      </c>
      <c r="M453">
        <f>获奖信息!M451</f>
        <v>0</v>
      </c>
      <c r="N453">
        <f>获奖信息!N451</f>
        <v>0</v>
      </c>
      <c r="O453">
        <f>获奖信息!O451</f>
        <v>0</v>
      </c>
    </row>
    <row r="454" spans="1:15" x14ac:dyDescent="0.2">
      <c r="A454">
        <f>获奖信息!A452</f>
        <v>0</v>
      </c>
      <c r="B454">
        <f>获奖信息!B452</f>
        <v>0</v>
      </c>
      <c r="C454">
        <f>获奖信息!C452</f>
        <v>0</v>
      </c>
      <c r="D454">
        <f>获奖信息!D452</f>
        <v>0</v>
      </c>
      <c r="E454">
        <f>获奖信息!E452</f>
        <v>0</v>
      </c>
      <c r="F454">
        <f>获奖信息!F452</f>
        <v>0</v>
      </c>
      <c r="G454">
        <f>获奖信息!G452</f>
        <v>0</v>
      </c>
      <c r="H454">
        <f>获奖信息!H452</f>
        <v>0</v>
      </c>
      <c r="I454">
        <f>获奖信息!I452</f>
        <v>0</v>
      </c>
      <c r="J454">
        <f>获奖信息!J452</f>
        <v>0</v>
      </c>
      <c r="K454">
        <f>获奖信息!K452</f>
        <v>0</v>
      </c>
      <c r="L454">
        <f>获奖信息!L452</f>
        <v>0</v>
      </c>
      <c r="M454">
        <f>获奖信息!M452</f>
        <v>0</v>
      </c>
      <c r="N454">
        <f>获奖信息!N452</f>
        <v>0</v>
      </c>
      <c r="O454">
        <f>获奖信息!O452</f>
        <v>0</v>
      </c>
    </row>
    <row r="455" spans="1:15" x14ac:dyDescent="0.2">
      <c r="A455">
        <f>获奖信息!A453</f>
        <v>0</v>
      </c>
      <c r="B455">
        <f>获奖信息!B453</f>
        <v>0</v>
      </c>
      <c r="C455">
        <f>获奖信息!C453</f>
        <v>0</v>
      </c>
      <c r="D455">
        <f>获奖信息!D453</f>
        <v>0</v>
      </c>
      <c r="E455">
        <f>获奖信息!E453</f>
        <v>0</v>
      </c>
      <c r="F455">
        <f>获奖信息!F453</f>
        <v>0</v>
      </c>
      <c r="G455">
        <f>获奖信息!G453</f>
        <v>0</v>
      </c>
      <c r="H455">
        <f>获奖信息!H453</f>
        <v>0</v>
      </c>
      <c r="I455">
        <f>获奖信息!I453</f>
        <v>0</v>
      </c>
      <c r="J455">
        <f>获奖信息!J453</f>
        <v>0</v>
      </c>
      <c r="K455">
        <f>获奖信息!K453</f>
        <v>0</v>
      </c>
      <c r="L455">
        <f>获奖信息!L453</f>
        <v>0</v>
      </c>
      <c r="M455">
        <f>获奖信息!M453</f>
        <v>0</v>
      </c>
      <c r="N455">
        <f>获奖信息!N453</f>
        <v>0</v>
      </c>
      <c r="O455">
        <f>获奖信息!O453</f>
        <v>0</v>
      </c>
    </row>
    <row r="456" spans="1:15" x14ac:dyDescent="0.2">
      <c r="A456">
        <f>获奖信息!A454</f>
        <v>0</v>
      </c>
      <c r="B456">
        <f>获奖信息!B454</f>
        <v>0</v>
      </c>
      <c r="C456">
        <f>获奖信息!C454</f>
        <v>0</v>
      </c>
      <c r="D456">
        <f>获奖信息!D454</f>
        <v>0</v>
      </c>
      <c r="E456">
        <f>获奖信息!E454</f>
        <v>0</v>
      </c>
      <c r="F456">
        <f>获奖信息!F454</f>
        <v>0</v>
      </c>
      <c r="G456">
        <f>获奖信息!G454</f>
        <v>0</v>
      </c>
      <c r="H456">
        <f>获奖信息!H454</f>
        <v>0</v>
      </c>
      <c r="I456">
        <f>获奖信息!I454</f>
        <v>0</v>
      </c>
      <c r="J456">
        <f>获奖信息!J454</f>
        <v>0</v>
      </c>
      <c r="K456">
        <f>获奖信息!K454</f>
        <v>0</v>
      </c>
      <c r="L456">
        <f>获奖信息!L454</f>
        <v>0</v>
      </c>
      <c r="M456">
        <f>获奖信息!M454</f>
        <v>0</v>
      </c>
      <c r="N456">
        <f>获奖信息!N454</f>
        <v>0</v>
      </c>
      <c r="O456">
        <f>获奖信息!O454</f>
        <v>0</v>
      </c>
    </row>
    <row r="457" spans="1:15" x14ac:dyDescent="0.2">
      <c r="A457">
        <f>获奖信息!A455</f>
        <v>0</v>
      </c>
      <c r="B457">
        <f>获奖信息!B455</f>
        <v>0</v>
      </c>
      <c r="C457">
        <f>获奖信息!C455</f>
        <v>0</v>
      </c>
      <c r="D457">
        <f>获奖信息!D455</f>
        <v>0</v>
      </c>
      <c r="E457">
        <f>获奖信息!E455</f>
        <v>0</v>
      </c>
      <c r="F457">
        <f>获奖信息!F455</f>
        <v>0</v>
      </c>
      <c r="G457">
        <f>获奖信息!G455</f>
        <v>0</v>
      </c>
      <c r="H457">
        <f>获奖信息!H455</f>
        <v>0</v>
      </c>
      <c r="I457">
        <f>获奖信息!I455</f>
        <v>0</v>
      </c>
      <c r="J457">
        <f>获奖信息!J455</f>
        <v>0</v>
      </c>
      <c r="K457">
        <f>获奖信息!K455</f>
        <v>0</v>
      </c>
      <c r="L457">
        <f>获奖信息!L455</f>
        <v>0</v>
      </c>
      <c r="M457">
        <f>获奖信息!M455</f>
        <v>0</v>
      </c>
      <c r="N457">
        <f>获奖信息!N455</f>
        <v>0</v>
      </c>
      <c r="O457">
        <f>获奖信息!O455</f>
        <v>0</v>
      </c>
    </row>
    <row r="458" spans="1:15" x14ac:dyDescent="0.2">
      <c r="A458">
        <f>获奖信息!A456</f>
        <v>0</v>
      </c>
      <c r="B458">
        <f>获奖信息!B456</f>
        <v>0</v>
      </c>
      <c r="C458">
        <f>获奖信息!C456</f>
        <v>0</v>
      </c>
      <c r="D458">
        <f>获奖信息!D456</f>
        <v>0</v>
      </c>
      <c r="E458">
        <f>获奖信息!E456</f>
        <v>0</v>
      </c>
      <c r="F458">
        <f>获奖信息!F456</f>
        <v>0</v>
      </c>
      <c r="G458">
        <f>获奖信息!G456</f>
        <v>0</v>
      </c>
      <c r="H458">
        <f>获奖信息!H456</f>
        <v>0</v>
      </c>
      <c r="I458">
        <f>获奖信息!I456</f>
        <v>0</v>
      </c>
      <c r="J458">
        <f>获奖信息!J456</f>
        <v>0</v>
      </c>
      <c r="K458">
        <f>获奖信息!K456</f>
        <v>0</v>
      </c>
      <c r="L458">
        <f>获奖信息!L456</f>
        <v>0</v>
      </c>
      <c r="M458">
        <f>获奖信息!M456</f>
        <v>0</v>
      </c>
      <c r="N458">
        <f>获奖信息!N456</f>
        <v>0</v>
      </c>
      <c r="O458">
        <f>获奖信息!O456</f>
        <v>0</v>
      </c>
    </row>
    <row r="459" spans="1:15" x14ac:dyDescent="0.2">
      <c r="A459">
        <f>获奖信息!A457</f>
        <v>0</v>
      </c>
      <c r="B459">
        <f>获奖信息!B457</f>
        <v>0</v>
      </c>
      <c r="C459">
        <f>获奖信息!C457</f>
        <v>0</v>
      </c>
      <c r="D459">
        <f>获奖信息!D457</f>
        <v>0</v>
      </c>
      <c r="E459">
        <f>获奖信息!E457</f>
        <v>0</v>
      </c>
      <c r="F459">
        <f>获奖信息!F457</f>
        <v>0</v>
      </c>
      <c r="G459">
        <f>获奖信息!G457</f>
        <v>0</v>
      </c>
      <c r="H459">
        <f>获奖信息!H457</f>
        <v>0</v>
      </c>
      <c r="I459">
        <f>获奖信息!I457</f>
        <v>0</v>
      </c>
      <c r="J459">
        <f>获奖信息!J457</f>
        <v>0</v>
      </c>
      <c r="K459">
        <f>获奖信息!K457</f>
        <v>0</v>
      </c>
      <c r="L459">
        <f>获奖信息!L457</f>
        <v>0</v>
      </c>
      <c r="M459">
        <f>获奖信息!M457</f>
        <v>0</v>
      </c>
      <c r="N459">
        <f>获奖信息!N457</f>
        <v>0</v>
      </c>
      <c r="O459">
        <f>获奖信息!O457</f>
        <v>0</v>
      </c>
    </row>
    <row r="460" spans="1:15" x14ac:dyDescent="0.2">
      <c r="A460">
        <f>获奖信息!A458</f>
        <v>0</v>
      </c>
      <c r="B460">
        <f>获奖信息!B458</f>
        <v>0</v>
      </c>
      <c r="C460">
        <f>获奖信息!C458</f>
        <v>0</v>
      </c>
      <c r="D460">
        <f>获奖信息!D458</f>
        <v>0</v>
      </c>
      <c r="E460">
        <f>获奖信息!E458</f>
        <v>0</v>
      </c>
      <c r="F460">
        <f>获奖信息!F458</f>
        <v>0</v>
      </c>
      <c r="G460">
        <f>获奖信息!G458</f>
        <v>0</v>
      </c>
      <c r="H460">
        <f>获奖信息!H458</f>
        <v>0</v>
      </c>
      <c r="I460">
        <f>获奖信息!I458</f>
        <v>0</v>
      </c>
      <c r="J460">
        <f>获奖信息!J458</f>
        <v>0</v>
      </c>
      <c r="K460">
        <f>获奖信息!K458</f>
        <v>0</v>
      </c>
      <c r="L460">
        <f>获奖信息!L458</f>
        <v>0</v>
      </c>
      <c r="M460">
        <f>获奖信息!M458</f>
        <v>0</v>
      </c>
      <c r="N460">
        <f>获奖信息!N458</f>
        <v>0</v>
      </c>
      <c r="O460">
        <f>获奖信息!O458</f>
        <v>0</v>
      </c>
    </row>
    <row r="461" spans="1:15" x14ac:dyDescent="0.2">
      <c r="A461">
        <f>获奖信息!A459</f>
        <v>0</v>
      </c>
      <c r="B461">
        <f>获奖信息!B459</f>
        <v>0</v>
      </c>
      <c r="C461">
        <f>获奖信息!C459</f>
        <v>0</v>
      </c>
      <c r="D461">
        <f>获奖信息!D459</f>
        <v>0</v>
      </c>
      <c r="E461">
        <f>获奖信息!E459</f>
        <v>0</v>
      </c>
      <c r="F461">
        <f>获奖信息!F459</f>
        <v>0</v>
      </c>
      <c r="G461">
        <f>获奖信息!G459</f>
        <v>0</v>
      </c>
      <c r="H461">
        <f>获奖信息!H459</f>
        <v>0</v>
      </c>
      <c r="I461">
        <f>获奖信息!I459</f>
        <v>0</v>
      </c>
      <c r="J461">
        <f>获奖信息!J459</f>
        <v>0</v>
      </c>
      <c r="K461">
        <f>获奖信息!K459</f>
        <v>0</v>
      </c>
      <c r="L461">
        <f>获奖信息!L459</f>
        <v>0</v>
      </c>
      <c r="M461">
        <f>获奖信息!M459</f>
        <v>0</v>
      </c>
      <c r="N461">
        <f>获奖信息!N459</f>
        <v>0</v>
      </c>
      <c r="O461">
        <f>获奖信息!O459</f>
        <v>0</v>
      </c>
    </row>
    <row r="462" spans="1:15" x14ac:dyDescent="0.2">
      <c r="A462">
        <f>获奖信息!A460</f>
        <v>0</v>
      </c>
      <c r="B462">
        <f>获奖信息!B460</f>
        <v>0</v>
      </c>
      <c r="C462">
        <f>获奖信息!C460</f>
        <v>0</v>
      </c>
      <c r="D462">
        <f>获奖信息!D460</f>
        <v>0</v>
      </c>
      <c r="E462">
        <f>获奖信息!E460</f>
        <v>0</v>
      </c>
      <c r="F462">
        <f>获奖信息!F460</f>
        <v>0</v>
      </c>
      <c r="G462">
        <f>获奖信息!G460</f>
        <v>0</v>
      </c>
      <c r="H462">
        <f>获奖信息!H460</f>
        <v>0</v>
      </c>
      <c r="I462">
        <f>获奖信息!I460</f>
        <v>0</v>
      </c>
      <c r="J462">
        <f>获奖信息!J460</f>
        <v>0</v>
      </c>
      <c r="K462">
        <f>获奖信息!K460</f>
        <v>0</v>
      </c>
      <c r="L462">
        <f>获奖信息!L460</f>
        <v>0</v>
      </c>
      <c r="M462">
        <f>获奖信息!M460</f>
        <v>0</v>
      </c>
      <c r="N462">
        <f>获奖信息!N460</f>
        <v>0</v>
      </c>
      <c r="O462">
        <f>获奖信息!O460</f>
        <v>0</v>
      </c>
    </row>
    <row r="463" spans="1:15" x14ac:dyDescent="0.2">
      <c r="A463">
        <f>获奖信息!A461</f>
        <v>0</v>
      </c>
      <c r="B463">
        <f>获奖信息!B461</f>
        <v>0</v>
      </c>
      <c r="C463">
        <f>获奖信息!C461</f>
        <v>0</v>
      </c>
      <c r="D463">
        <f>获奖信息!D461</f>
        <v>0</v>
      </c>
      <c r="E463">
        <f>获奖信息!E461</f>
        <v>0</v>
      </c>
      <c r="F463">
        <f>获奖信息!F461</f>
        <v>0</v>
      </c>
      <c r="G463">
        <f>获奖信息!G461</f>
        <v>0</v>
      </c>
      <c r="H463">
        <f>获奖信息!H461</f>
        <v>0</v>
      </c>
      <c r="I463">
        <f>获奖信息!I461</f>
        <v>0</v>
      </c>
      <c r="J463">
        <f>获奖信息!J461</f>
        <v>0</v>
      </c>
      <c r="K463">
        <f>获奖信息!K461</f>
        <v>0</v>
      </c>
      <c r="L463">
        <f>获奖信息!L461</f>
        <v>0</v>
      </c>
      <c r="M463">
        <f>获奖信息!M461</f>
        <v>0</v>
      </c>
      <c r="N463">
        <f>获奖信息!N461</f>
        <v>0</v>
      </c>
      <c r="O463">
        <f>获奖信息!O461</f>
        <v>0</v>
      </c>
    </row>
    <row r="464" spans="1:15" x14ac:dyDescent="0.2">
      <c r="A464">
        <f>获奖信息!A462</f>
        <v>0</v>
      </c>
      <c r="B464">
        <f>获奖信息!B462</f>
        <v>0</v>
      </c>
      <c r="C464">
        <f>获奖信息!C462</f>
        <v>0</v>
      </c>
      <c r="D464">
        <f>获奖信息!D462</f>
        <v>0</v>
      </c>
      <c r="E464">
        <f>获奖信息!E462</f>
        <v>0</v>
      </c>
      <c r="F464">
        <f>获奖信息!F462</f>
        <v>0</v>
      </c>
      <c r="G464">
        <f>获奖信息!G462</f>
        <v>0</v>
      </c>
      <c r="H464">
        <f>获奖信息!H462</f>
        <v>0</v>
      </c>
      <c r="I464">
        <f>获奖信息!I462</f>
        <v>0</v>
      </c>
      <c r="J464">
        <f>获奖信息!J462</f>
        <v>0</v>
      </c>
      <c r="K464">
        <f>获奖信息!K462</f>
        <v>0</v>
      </c>
      <c r="L464">
        <f>获奖信息!L462</f>
        <v>0</v>
      </c>
      <c r="M464">
        <f>获奖信息!M462</f>
        <v>0</v>
      </c>
      <c r="N464">
        <f>获奖信息!N462</f>
        <v>0</v>
      </c>
      <c r="O464">
        <f>获奖信息!O462</f>
        <v>0</v>
      </c>
    </row>
    <row r="465" spans="1:15" x14ac:dyDescent="0.2">
      <c r="A465">
        <f>获奖信息!A463</f>
        <v>0</v>
      </c>
      <c r="B465">
        <f>获奖信息!B463</f>
        <v>0</v>
      </c>
      <c r="C465">
        <f>获奖信息!C463</f>
        <v>0</v>
      </c>
      <c r="D465">
        <f>获奖信息!D463</f>
        <v>0</v>
      </c>
      <c r="E465">
        <f>获奖信息!E463</f>
        <v>0</v>
      </c>
      <c r="F465">
        <f>获奖信息!F463</f>
        <v>0</v>
      </c>
      <c r="G465">
        <f>获奖信息!G463</f>
        <v>0</v>
      </c>
      <c r="H465">
        <f>获奖信息!H463</f>
        <v>0</v>
      </c>
      <c r="I465">
        <f>获奖信息!I463</f>
        <v>0</v>
      </c>
      <c r="J465">
        <f>获奖信息!J463</f>
        <v>0</v>
      </c>
      <c r="K465">
        <f>获奖信息!K463</f>
        <v>0</v>
      </c>
      <c r="L465">
        <f>获奖信息!L463</f>
        <v>0</v>
      </c>
      <c r="M465">
        <f>获奖信息!M463</f>
        <v>0</v>
      </c>
      <c r="N465">
        <f>获奖信息!N463</f>
        <v>0</v>
      </c>
      <c r="O465">
        <f>获奖信息!O463</f>
        <v>0</v>
      </c>
    </row>
    <row r="466" spans="1:15" x14ac:dyDescent="0.2">
      <c r="A466">
        <f>获奖信息!A464</f>
        <v>0</v>
      </c>
      <c r="B466">
        <f>获奖信息!B464</f>
        <v>0</v>
      </c>
      <c r="C466">
        <f>获奖信息!C464</f>
        <v>0</v>
      </c>
      <c r="D466">
        <f>获奖信息!D464</f>
        <v>0</v>
      </c>
      <c r="E466">
        <f>获奖信息!E464</f>
        <v>0</v>
      </c>
      <c r="F466">
        <f>获奖信息!F464</f>
        <v>0</v>
      </c>
      <c r="G466">
        <f>获奖信息!G464</f>
        <v>0</v>
      </c>
      <c r="H466">
        <f>获奖信息!H464</f>
        <v>0</v>
      </c>
      <c r="I466">
        <f>获奖信息!I464</f>
        <v>0</v>
      </c>
      <c r="J466">
        <f>获奖信息!J464</f>
        <v>0</v>
      </c>
      <c r="K466">
        <f>获奖信息!K464</f>
        <v>0</v>
      </c>
      <c r="L466">
        <f>获奖信息!L464</f>
        <v>0</v>
      </c>
      <c r="M466">
        <f>获奖信息!M464</f>
        <v>0</v>
      </c>
      <c r="N466">
        <f>获奖信息!N464</f>
        <v>0</v>
      </c>
      <c r="O466">
        <f>获奖信息!O464</f>
        <v>0</v>
      </c>
    </row>
    <row r="467" spans="1:15" x14ac:dyDescent="0.2">
      <c r="A467">
        <f>获奖信息!A465</f>
        <v>0</v>
      </c>
      <c r="B467">
        <f>获奖信息!B465</f>
        <v>0</v>
      </c>
      <c r="C467">
        <f>获奖信息!C465</f>
        <v>0</v>
      </c>
      <c r="D467">
        <f>获奖信息!D465</f>
        <v>0</v>
      </c>
      <c r="E467">
        <f>获奖信息!E465</f>
        <v>0</v>
      </c>
      <c r="F467">
        <f>获奖信息!F465</f>
        <v>0</v>
      </c>
      <c r="G467">
        <f>获奖信息!G465</f>
        <v>0</v>
      </c>
      <c r="H467">
        <f>获奖信息!H465</f>
        <v>0</v>
      </c>
      <c r="I467">
        <f>获奖信息!I465</f>
        <v>0</v>
      </c>
      <c r="J467">
        <f>获奖信息!J465</f>
        <v>0</v>
      </c>
      <c r="K467">
        <f>获奖信息!K465</f>
        <v>0</v>
      </c>
      <c r="L467">
        <f>获奖信息!L465</f>
        <v>0</v>
      </c>
      <c r="M467">
        <f>获奖信息!M465</f>
        <v>0</v>
      </c>
      <c r="N467">
        <f>获奖信息!N465</f>
        <v>0</v>
      </c>
      <c r="O467">
        <f>获奖信息!O465</f>
        <v>0</v>
      </c>
    </row>
    <row r="468" spans="1:15" x14ac:dyDescent="0.2">
      <c r="A468">
        <f>获奖信息!A466</f>
        <v>0</v>
      </c>
      <c r="B468">
        <f>获奖信息!B466</f>
        <v>0</v>
      </c>
      <c r="C468">
        <f>获奖信息!C466</f>
        <v>0</v>
      </c>
      <c r="D468">
        <f>获奖信息!D466</f>
        <v>0</v>
      </c>
      <c r="E468">
        <f>获奖信息!E466</f>
        <v>0</v>
      </c>
      <c r="F468">
        <f>获奖信息!F466</f>
        <v>0</v>
      </c>
      <c r="G468">
        <f>获奖信息!G466</f>
        <v>0</v>
      </c>
      <c r="H468">
        <f>获奖信息!H466</f>
        <v>0</v>
      </c>
      <c r="I468">
        <f>获奖信息!I466</f>
        <v>0</v>
      </c>
      <c r="J468">
        <f>获奖信息!J466</f>
        <v>0</v>
      </c>
      <c r="K468">
        <f>获奖信息!K466</f>
        <v>0</v>
      </c>
      <c r="L468">
        <f>获奖信息!L466</f>
        <v>0</v>
      </c>
      <c r="M468">
        <f>获奖信息!M466</f>
        <v>0</v>
      </c>
      <c r="N468">
        <f>获奖信息!N466</f>
        <v>0</v>
      </c>
      <c r="O468">
        <f>获奖信息!O466</f>
        <v>0</v>
      </c>
    </row>
    <row r="469" spans="1:15" x14ac:dyDescent="0.2">
      <c r="A469">
        <f>获奖信息!A467</f>
        <v>0</v>
      </c>
      <c r="B469">
        <f>获奖信息!B467</f>
        <v>0</v>
      </c>
      <c r="C469">
        <f>获奖信息!C467</f>
        <v>0</v>
      </c>
      <c r="D469">
        <f>获奖信息!D467</f>
        <v>0</v>
      </c>
      <c r="E469">
        <f>获奖信息!E467</f>
        <v>0</v>
      </c>
      <c r="F469">
        <f>获奖信息!F467</f>
        <v>0</v>
      </c>
      <c r="G469">
        <f>获奖信息!G467</f>
        <v>0</v>
      </c>
      <c r="H469">
        <f>获奖信息!H467</f>
        <v>0</v>
      </c>
      <c r="I469">
        <f>获奖信息!I467</f>
        <v>0</v>
      </c>
      <c r="J469">
        <f>获奖信息!J467</f>
        <v>0</v>
      </c>
      <c r="K469">
        <f>获奖信息!K467</f>
        <v>0</v>
      </c>
      <c r="L469">
        <f>获奖信息!L467</f>
        <v>0</v>
      </c>
      <c r="M469">
        <f>获奖信息!M467</f>
        <v>0</v>
      </c>
      <c r="N469">
        <f>获奖信息!N467</f>
        <v>0</v>
      </c>
      <c r="O469">
        <f>获奖信息!O467</f>
        <v>0</v>
      </c>
    </row>
    <row r="470" spans="1:15" x14ac:dyDescent="0.2">
      <c r="A470">
        <f>获奖信息!A468</f>
        <v>0</v>
      </c>
      <c r="B470">
        <f>获奖信息!B468</f>
        <v>0</v>
      </c>
      <c r="C470">
        <f>获奖信息!C468</f>
        <v>0</v>
      </c>
      <c r="D470">
        <f>获奖信息!D468</f>
        <v>0</v>
      </c>
      <c r="E470">
        <f>获奖信息!E468</f>
        <v>0</v>
      </c>
      <c r="F470">
        <f>获奖信息!F468</f>
        <v>0</v>
      </c>
      <c r="G470">
        <f>获奖信息!G468</f>
        <v>0</v>
      </c>
      <c r="H470">
        <f>获奖信息!H468</f>
        <v>0</v>
      </c>
      <c r="I470">
        <f>获奖信息!I468</f>
        <v>0</v>
      </c>
      <c r="J470">
        <f>获奖信息!J468</f>
        <v>0</v>
      </c>
      <c r="K470">
        <f>获奖信息!K468</f>
        <v>0</v>
      </c>
      <c r="L470">
        <f>获奖信息!L468</f>
        <v>0</v>
      </c>
      <c r="M470">
        <f>获奖信息!M468</f>
        <v>0</v>
      </c>
      <c r="N470">
        <f>获奖信息!N468</f>
        <v>0</v>
      </c>
      <c r="O470">
        <f>获奖信息!O468</f>
        <v>0</v>
      </c>
    </row>
    <row r="471" spans="1:15" x14ac:dyDescent="0.2">
      <c r="A471">
        <f>获奖信息!A469</f>
        <v>0</v>
      </c>
      <c r="B471">
        <f>获奖信息!B469</f>
        <v>0</v>
      </c>
      <c r="C471">
        <f>获奖信息!C469</f>
        <v>0</v>
      </c>
      <c r="D471">
        <f>获奖信息!D469</f>
        <v>0</v>
      </c>
      <c r="E471">
        <f>获奖信息!E469</f>
        <v>0</v>
      </c>
      <c r="F471">
        <f>获奖信息!F469</f>
        <v>0</v>
      </c>
      <c r="G471">
        <f>获奖信息!G469</f>
        <v>0</v>
      </c>
      <c r="H471">
        <f>获奖信息!H469</f>
        <v>0</v>
      </c>
      <c r="I471">
        <f>获奖信息!I469</f>
        <v>0</v>
      </c>
      <c r="J471">
        <f>获奖信息!J469</f>
        <v>0</v>
      </c>
      <c r="K471">
        <f>获奖信息!K469</f>
        <v>0</v>
      </c>
      <c r="L471">
        <f>获奖信息!L469</f>
        <v>0</v>
      </c>
      <c r="M471">
        <f>获奖信息!M469</f>
        <v>0</v>
      </c>
      <c r="N471">
        <f>获奖信息!N469</f>
        <v>0</v>
      </c>
      <c r="O471">
        <f>获奖信息!O469</f>
        <v>0</v>
      </c>
    </row>
    <row r="472" spans="1:15" x14ac:dyDescent="0.2">
      <c r="A472">
        <f>获奖信息!A470</f>
        <v>0</v>
      </c>
      <c r="B472">
        <f>获奖信息!B470</f>
        <v>0</v>
      </c>
      <c r="C472">
        <f>获奖信息!C470</f>
        <v>0</v>
      </c>
      <c r="D472">
        <f>获奖信息!D470</f>
        <v>0</v>
      </c>
      <c r="E472">
        <f>获奖信息!E470</f>
        <v>0</v>
      </c>
      <c r="F472">
        <f>获奖信息!F470</f>
        <v>0</v>
      </c>
      <c r="G472">
        <f>获奖信息!G470</f>
        <v>0</v>
      </c>
      <c r="H472">
        <f>获奖信息!H470</f>
        <v>0</v>
      </c>
      <c r="I472">
        <f>获奖信息!I470</f>
        <v>0</v>
      </c>
      <c r="J472">
        <f>获奖信息!J470</f>
        <v>0</v>
      </c>
      <c r="K472">
        <f>获奖信息!K470</f>
        <v>0</v>
      </c>
      <c r="L472">
        <f>获奖信息!L470</f>
        <v>0</v>
      </c>
      <c r="M472">
        <f>获奖信息!M470</f>
        <v>0</v>
      </c>
      <c r="N472">
        <f>获奖信息!N470</f>
        <v>0</v>
      </c>
      <c r="O472">
        <f>获奖信息!O470</f>
        <v>0</v>
      </c>
    </row>
    <row r="473" spans="1:15" x14ac:dyDescent="0.2">
      <c r="A473">
        <f>获奖信息!A471</f>
        <v>0</v>
      </c>
      <c r="B473">
        <f>获奖信息!B471</f>
        <v>0</v>
      </c>
      <c r="C473">
        <f>获奖信息!C471</f>
        <v>0</v>
      </c>
      <c r="D473">
        <f>获奖信息!D471</f>
        <v>0</v>
      </c>
      <c r="E473">
        <f>获奖信息!E471</f>
        <v>0</v>
      </c>
      <c r="F473">
        <f>获奖信息!F471</f>
        <v>0</v>
      </c>
      <c r="G473">
        <f>获奖信息!G471</f>
        <v>0</v>
      </c>
      <c r="H473">
        <f>获奖信息!H471</f>
        <v>0</v>
      </c>
      <c r="I473">
        <f>获奖信息!I471</f>
        <v>0</v>
      </c>
      <c r="J473">
        <f>获奖信息!J471</f>
        <v>0</v>
      </c>
      <c r="K473">
        <f>获奖信息!K471</f>
        <v>0</v>
      </c>
      <c r="L473">
        <f>获奖信息!L471</f>
        <v>0</v>
      </c>
      <c r="M473">
        <f>获奖信息!M471</f>
        <v>0</v>
      </c>
      <c r="N473">
        <f>获奖信息!N471</f>
        <v>0</v>
      </c>
      <c r="O473">
        <f>获奖信息!O471</f>
        <v>0</v>
      </c>
    </row>
    <row r="474" spans="1:15" x14ac:dyDescent="0.2">
      <c r="A474">
        <f>获奖信息!A472</f>
        <v>0</v>
      </c>
      <c r="B474">
        <f>获奖信息!B472</f>
        <v>0</v>
      </c>
      <c r="C474">
        <f>获奖信息!C472</f>
        <v>0</v>
      </c>
      <c r="D474">
        <f>获奖信息!D472</f>
        <v>0</v>
      </c>
      <c r="E474">
        <f>获奖信息!E472</f>
        <v>0</v>
      </c>
      <c r="F474">
        <f>获奖信息!F472</f>
        <v>0</v>
      </c>
      <c r="G474">
        <f>获奖信息!G472</f>
        <v>0</v>
      </c>
      <c r="H474">
        <f>获奖信息!H472</f>
        <v>0</v>
      </c>
      <c r="I474">
        <f>获奖信息!I472</f>
        <v>0</v>
      </c>
      <c r="J474">
        <f>获奖信息!J472</f>
        <v>0</v>
      </c>
      <c r="K474">
        <f>获奖信息!K472</f>
        <v>0</v>
      </c>
      <c r="L474">
        <f>获奖信息!L472</f>
        <v>0</v>
      </c>
      <c r="M474">
        <f>获奖信息!M472</f>
        <v>0</v>
      </c>
      <c r="N474">
        <f>获奖信息!N472</f>
        <v>0</v>
      </c>
      <c r="O474">
        <f>获奖信息!O472</f>
        <v>0</v>
      </c>
    </row>
    <row r="475" spans="1:15" x14ac:dyDescent="0.2">
      <c r="A475">
        <f>获奖信息!A473</f>
        <v>0</v>
      </c>
      <c r="B475">
        <f>获奖信息!B473</f>
        <v>0</v>
      </c>
      <c r="C475">
        <f>获奖信息!C473</f>
        <v>0</v>
      </c>
      <c r="D475">
        <f>获奖信息!D473</f>
        <v>0</v>
      </c>
      <c r="E475">
        <f>获奖信息!E473</f>
        <v>0</v>
      </c>
      <c r="F475">
        <f>获奖信息!F473</f>
        <v>0</v>
      </c>
      <c r="G475">
        <f>获奖信息!G473</f>
        <v>0</v>
      </c>
      <c r="H475">
        <f>获奖信息!H473</f>
        <v>0</v>
      </c>
      <c r="I475">
        <f>获奖信息!I473</f>
        <v>0</v>
      </c>
      <c r="J475">
        <f>获奖信息!J473</f>
        <v>0</v>
      </c>
      <c r="K475">
        <f>获奖信息!K473</f>
        <v>0</v>
      </c>
      <c r="L475">
        <f>获奖信息!L473</f>
        <v>0</v>
      </c>
      <c r="M475">
        <f>获奖信息!M473</f>
        <v>0</v>
      </c>
      <c r="N475">
        <f>获奖信息!N473</f>
        <v>0</v>
      </c>
      <c r="O475">
        <f>获奖信息!O473</f>
        <v>0</v>
      </c>
    </row>
    <row r="476" spans="1:15" x14ac:dyDescent="0.2">
      <c r="A476">
        <f>获奖信息!A474</f>
        <v>0</v>
      </c>
      <c r="B476">
        <f>获奖信息!B474</f>
        <v>0</v>
      </c>
      <c r="C476">
        <f>获奖信息!C474</f>
        <v>0</v>
      </c>
      <c r="D476">
        <f>获奖信息!D474</f>
        <v>0</v>
      </c>
      <c r="E476">
        <f>获奖信息!E474</f>
        <v>0</v>
      </c>
      <c r="F476">
        <f>获奖信息!F474</f>
        <v>0</v>
      </c>
      <c r="G476">
        <f>获奖信息!G474</f>
        <v>0</v>
      </c>
      <c r="H476">
        <f>获奖信息!H474</f>
        <v>0</v>
      </c>
      <c r="I476">
        <f>获奖信息!I474</f>
        <v>0</v>
      </c>
      <c r="J476">
        <f>获奖信息!J474</f>
        <v>0</v>
      </c>
      <c r="K476">
        <f>获奖信息!K474</f>
        <v>0</v>
      </c>
      <c r="L476">
        <f>获奖信息!L474</f>
        <v>0</v>
      </c>
      <c r="M476">
        <f>获奖信息!M474</f>
        <v>0</v>
      </c>
      <c r="N476">
        <f>获奖信息!N474</f>
        <v>0</v>
      </c>
      <c r="O476">
        <f>获奖信息!O474</f>
        <v>0</v>
      </c>
    </row>
    <row r="477" spans="1:15" x14ac:dyDescent="0.2">
      <c r="A477">
        <f>获奖信息!A475</f>
        <v>0</v>
      </c>
      <c r="B477">
        <f>获奖信息!B475</f>
        <v>0</v>
      </c>
      <c r="C477">
        <f>获奖信息!C475</f>
        <v>0</v>
      </c>
      <c r="D477">
        <f>获奖信息!D475</f>
        <v>0</v>
      </c>
      <c r="E477">
        <f>获奖信息!E475</f>
        <v>0</v>
      </c>
      <c r="F477">
        <f>获奖信息!F475</f>
        <v>0</v>
      </c>
      <c r="G477">
        <f>获奖信息!G475</f>
        <v>0</v>
      </c>
      <c r="H477">
        <f>获奖信息!H475</f>
        <v>0</v>
      </c>
      <c r="I477">
        <f>获奖信息!I475</f>
        <v>0</v>
      </c>
      <c r="J477">
        <f>获奖信息!J475</f>
        <v>0</v>
      </c>
      <c r="K477">
        <f>获奖信息!K475</f>
        <v>0</v>
      </c>
      <c r="L477">
        <f>获奖信息!L475</f>
        <v>0</v>
      </c>
      <c r="M477">
        <f>获奖信息!M475</f>
        <v>0</v>
      </c>
      <c r="N477">
        <f>获奖信息!N475</f>
        <v>0</v>
      </c>
      <c r="O477">
        <f>获奖信息!O475</f>
        <v>0</v>
      </c>
    </row>
    <row r="478" spans="1:15" x14ac:dyDescent="0.2">
      <c r="A478">
        <f>获奖信息!A476</f>
        <v>0</v>
      </c>
      <c r="B478">
        <f>获奖信息!B476</f>
        <v>0</v>
      </c>
      <c r="C478">
        <f>获奖信息!C476</f>
        <v>0</v>
      </c>
      <c r="D478">
        <f>获奖信息!D476</f>
        <v>0</v>
      </c>
      <c r="E478">
        <f>获奖信息!E476</f>
        <v>0</v>
      </c>
      <c r="F478">
        <f>获奖信息!F476</f>
        <v>0</v>
      </c>
      <c r="G478">
        <f>获奖信息!G476</f>
        <v>0</v>
      </c>
      <c r="H478">
        <f>获奖信息!H476</f>
        <v>0</v>
      </c>
      <c r="I478">
        <f>获奖信息!I476</f>
        <v>0</v>
      </c>
      <c r="J478">
        <f>获奖信息!J476</f>
        <v>0</v>
      </c>
      <c r="K478">
        <f>获奖信息!K476</f>
        <v>0</v>
      </c>
      <c r="L478">
        <f>获奖信息!L476</f>
        <v>0</v>
      </c>
      <c r="M478">
        <f>获奖信息!M476</f>
        <v>0</v>
      </c>
      <c r="N478">
        <f>获奖信息!N476</f>
        <v>0</v>
      </c>
      <c r="O478">
        <f>获奖信息!O476</f>
        <v>0</v>
      </c>
    </row>
    <row r="479" spans="1:15" x14ac:dyDescent="0.2">
      <c r="A479">
        <f>获奖信息!A477</f>
        <v>0</v>
      </c>
      <c r="B479">
        <f>获奖信息!B477</f>
        <v>0</v>
      </c>
      <c r="C479">
        <f>获奖信息!C477</f>
        <v>0</v>
      </c>
      <c r="D479">
        <f>获奖信息!D477</f>
        <v>0</v>
      </c>
      <c r="E479">
        <f>获奖信息!E477</f>
        <v>0</v>
      </c>
      <c r="F479">
        <f>获奖信息!F477</f>
        <v>0</v>
      </c>
      <c r="G479">
        <f>获奖信息!G477</f>
        <v>0</v>
      </c>
      <c r="H479">
        <f>获奖信息!H477</f>
        <v>0</v>
      </c>
      <c r="I479">
        <f>获奖信息!I477</f>
        <v>0</v>
      </c>
      <c r="J479">
        <f>获奖信息!J477</f>
        <v>0</v>
      </c>
      <c r="K479">
        <f>获奖信息!K477</f>
        <v>0</v>
      </c>
      <c r="L479">
        <f>获奖信息!L477</f>
        <v>0</v>
      </c>
      <c r="M479">
        <f>获奖信息!M477</f>
        <v>0</v>
      </c>
      <c r="N479">
        <f>获奖信息!N477</f>
        <v>0</v>
      </c>
      <c r="O479">
        <f>获奖信息!O477</f>
        <v>0</v>
      </c>
    </row>
    <row r="480" spans="1:15" x14ac:dyDescent="0.2">
      <c r="A480">
        <f>获奖信息!A478</f>
        <v>0</v>
      </c>
      <c r="B480">
        <f>获奖信息!B478</f>
        <v>0</v>
      </c>
      <c r="C480">
        <f>获奖信息!C478</f>
        <v>0</v>
      </c>
      <c r="D480">
        <f>获奖信息!D478</f>
        <v>0</v>
      </c>
      <c r="E480">
        <f>获奖信息!E478</f>
        <v>0</v>
      </c>
      <c r="F480">
        <f>获奖信息!F478</f>
        <v>0</v>
      </c>
      <c r="G480">
        <f>获奖信息!G478</f>
        <v>0</v>
      </c>
      <c r="H480">
        <f>获奖信息!H478</f>
        <v>0</v>
      </c>
      <c r="I480">
        <f>获奖信息!I478</f>
        <v>0</v>
      </c>
      <c r="J480">
        <f>获奖信息!J478</f>
        <v>0</v>
      </c>
      <c r="K480">
        <f>获奖信息!K478</f>
        <v>0</v>
      </c>
      <c r="L480">
        <f>获奖信息!L478</f>
        <v>0</v>
      </c>
      <c r="M480">
        <f>获奖信息!M478</f>
        <v>0</v>
      </c>
      <c r="N480">
        <f>获奖信息!N478</f>
        <v>0</v>
      </c>
      <c r="O480">
        <f>获奖信息!O478</f>
        <v>0</v>
      </c>
    </row>
    <row r="481" spans="1:15" x14ac:dyDescent="0.2">
      <c r="A481">
        <f>获奖信息!A479</f>
        <v>0</v>
      </c>
      <c r="B481">
        <f>获奖信息!B479</f>
        <v>0</v>
      </c>
      <c r="C481">
        <f>获奖信息!C479</f>
        <v>0</v>
      </c>
      <c r="D481">
        <f>获奖信息!D479</f>
        <v>0</v>
      </c>
      <c r="E481">
        <f>获奖信息!E479</f>
        <v>0</v>
      </c>
      <c r="F481">
        <f>获奖信息!F479</f>
        <v>0</v>
      </c>
      <c r="G481">
        <f>获奖信息!G479</f>
        <v>0</v>
      </c>
      <c r="H481">
        <f>获奖信息!H479</f>
        <v>0</v>
      </c>
      <c r="I481">
        <f>获奖信息!I479</f>
        <v>0</v>
      </c>
      <c r="J481">
        <f>获奖信息!J479</f>
        <v>0</v>
      </c>
      <c r="K481">
        <f>获奖信息!K479</f>
        <v>0</v>
      </c>
      <c r="L481">
        <f>获奖信息!L479</f>
        <v>0</v>
      </c>
      <c r="M481">
        <f>获奖信息!M479</f>
        <v>0</v>
      </c>
      <c r="N481">
        <f>获奖信息!N479</f>
        <v>0</v>
      </c>
      <c r="O481">
        <f>获奖信息!O479</f>
        <v>0</v>
      </c>
    </row>
    <row r="482" spans="1:15" x14ac:dyDescent="0.2">
      <c r="A482">
        <f>获奖信息!A480</f>
        <v>0</v>
      </c>
      <c r="B482">
        <f>获奖信息!B480</f>
        <v>0</v>
      </c>
      <c r="C482">
        <f>获奖信息!C480</f>
        <v>0</v>
      </c>
      <c r="D482">
        <f>获奖信息!D480</f>
        <v>0</v>
      </c>
      <c r="E482">
        <f>获奖信息!E480</f>
        <v>0</v>
      </c>
      <c r="F482">
        <f>获奖信息!F480</f>
        <v>0</v>
      </c>
      <c r="G482">
        <f>获奖信息!G480</f>
        <v>0</v>
      </c>
      <c r="H482">
        <f>获奖信息!H480</f>
        <v>0</v>
      </c>
      <c r="I482">
        <f>获奖信息!I480</f>
        <v>0</v>
      </c>
      <c r="J482">
        <f>获奖信息!J480</f>
        <v>0</v>
      </c>
      <c r="K482">
        <f>获奖信息!K480</f>
        <v>0</v>
      </c>
      <c r="L482">
        <f>获奖信息!L480</f>
        <v>0</v>
      </c>
      <c r="M482">
        <f>获奖信息!M480</f>
        <v>0</v>
      </c>
      <c r="N482">
        <f>获奖信息!N480</f>
        <v>0</v>
      </c>
      <c r="O482">
        <f>获奖信息!O480</f>
        <v>0</v>
      </c>
    </row>
    <row r="483" spans="1:15" x14ac:dyDescent="0.2">
      <c r="A483">
        <f>获奖信息!A481</f>
        <v>0</v>
      </c>
      <c r="B483">
        <f>获奖信息!B481</f>
        <v>0</v>
      </c>
      <c r="C483">
        <f>获奖信息!C481</f>
        <v>0</v>
      </c>
      <c r="D483">
        <f>获奖信息!D481</f>
        <v>0</v>
      </c>
      <c r="E483">
        <f>获奖信息!E481</f>
        <v>0</v>
      </c>
      <c r="F483">
        <f>获奖信息!F481</f>
        <v>0</v>
      </c>
      <c r="G483">
        <f>获奖信息!G481</f>
        <v>0</v>
      </c>
      <c r="H483">
        <f>获奖信息!H481</f>
        <v>0</v>
      </c>
      <c r="I483">
        <f>获奖信息!I481</f>
        <v>0</v>
      </c>
      <c r="J483">
        <f>获奖信息!J481</f>
        <v>0</v>
      </c>
      <c r="K483">
        <f>获奖信息!K481</f>
        <v>0</v>
      </c>
      <c r="L483">
        <f>获奖信息!L481</f>
        <v>0</v>
      </c>
      <c r="M483">
        <f>获奖信息!M481</f>
        <v>0</v>
      </c>
      <c r="N483">
        <f>获奖信息!N481</f>
        <v>0</v>
      </c>
      <c r="O483">
        <f>获奖信息!O481</f>
        <v>0</v>
      </c>
    </row>
    <row r="484" spans="1:15" x14ac:dyDescent="0.2">
      <c r="A484">
        <f>获奖信息!A482</f>
        <v>0</v>
      </c>
      <c r="B484">
        <f>获奖信息!B482</f>
        <v>0</v>
      </c>
      <c r="C484">
        <f>获奖信息!C482</f>
        <v>0</v>
      </c>
      <c r="D484">
        <f>获奖信息!D482</f>
        <v>0</v>
      </c>
      <c r="E484">
        <f>获奖信息!E482</f>
        <v>0</v>
      </c>
      <c r="F484">
        <f>获奖信息!F482</f>
        <v>0</v>
      </c>
      <c r="G484">
        <f>获奖信息!G482</f>
        <v>0</v>
      </c>
      <c r="H484">
        <f>获奖信息!H482</f>
        <v>0</v>
      </c>
      <c r="I484">
        <f>获奖信息!I482</f>
        <v>0</v>
      </c>
      <c r="J484">
        <f>获奖信息!J482</f>
        <v>0</v>
      </c>
      <c r="K484">
        <f>获奖信息!K482</f>
        <v>0</v>
      </c>
      <c r="L484">
        <f>获奖信息!L482</f>
        <v>0</v>
      </c>
      <c r="M484">
        <f>获奖信息!M482</f>
        <v>0</v>
      </c>
      <c r="N484">
        <f>获奖信息!N482</f>
        <v>0</v>
      </c>
      <c r="O484">
        <f>获奖信息!O482</f>
        <v>0</v>
      </c>
    </row>
    <row r="485" spans="1:15" x14ac:dyDescent="0.2">
      <c r="A485">
        <f>获奖信息!A483</f>
        <v>0</v>
      </c>
      <c r="B485">
        <f>获奖信息!B483</f>
        <v>0</v>
      </c>
      <c r="C485">
        <f>获奖信息!C483</f>
        <v>0</v>
      </c>
      <c r="D485">
        <f>获奖信息!D483</f>
        <v>0</v>
      </c>
      <c r="E485">
        <f>获奖信息!E483</f>
        <v>0</v>
      </c>
      <c r="F485">
        <f>获奖信息!F483</f>
        <v>0</v>
      </c>
      <c r="G485">
        <f>获奖信息!G483</f>
        <v>0</v>
      </c>
      <c r="H485">
        <f>获奖信息!H483</f>
        <v>0</v>
      </c>
      <c r="I485">
        <f>获奖信息!I483</f>
        <v>0</v>
      </c>
      <c r="J485">
        <f>获奖信息!J483</f>
        <v>0</v>
      </c>
      <c r="K485">
        <f>获奖信息!K483</f>
        <v>0</v>
      </c>
      <c r="L485">
        <f>获奖信息!L483</f>
        <v>0</v>
      </c>
      <c r="M485">
        <f>获奖信息!M483</f>
        <v>0</v>
      </c>
      <c r="N485">
        <f>获奖信息!N483</f>
        <v>0</v>
      </c>
      <c r="O485">
        <f>获奖信息!O483</f>
        <v>0</v>
      </c>
    </row>
    <row r="486" spans="1:15" x14ac:dyDescent="0.2">
      <c r="A486">
        <f>获奖信息!A484</f>
        <v>0</v>
      </c>
      <c r="B486">
        <f>获奖信息!B484</f>
        <v>0</v>
      </c>
      <c r="C486">
        <f>获奖信息!C484</f>
        <v>0</v>
      </c>
      <c r="D486">
        <f>获奖信息!D484</f>
        <v>0</v>
      </c>
      <c r="E486">
        <f>获奖信息!E484</f>
        <v>0</v>
      </c>
      <c r="F486">
        <f>获奖信息!F484</f>
        <v>0</v>
      </c>
      <c r="G486">
        <f>获奖信息!G484</f>
        <v>0</v>
      </c>
      <c r="H486">
        <f>获奖信息!H484</f>
        <v>0</v>
      </c>
      <c r="I486">
        <f>获奖信息!I484</f>
        <v>0</v>
      </c>
      <c r="J486">
        <f>获奖信息!J484</f>
        <v>0</v>
      </c>
      <c r="K486">
        <f>获奖信息!K484</f>
        <v>0</v>
      </c>
      <c r="L486">
        <f>获奖信息!L484</f>
        <v>0</v>
      </c>
      <c r="M486">
        <f>获奖信息!M484</f>
        <v>0</v>
      </c>
      <c r="N486">
        <f>获奖信息!N484</f>
        <v>0</v>
      </c>
      <c r="O486">
        <f>获奖信息!O484</f>
        <v>0</v>
      </c>
    </row>
    <row r="487" spans="1:15" x14ac:dyDescent="0.2">
      <c r="A487">
        <f>获奖信息!A485</f>
        <v>0</v>
      </c>
      <c r="B487">
        <f>获奖信息!B485</f>
        <v>0</v>
      </c>
      <c r="C487">
        <f>获奖信息!C485</f>
        <v>0</v>
      </c>
      <c r="D487">
        <f>获奖信息!D485</f>
        <v>0</v>
      </c>
      <c r="E487">
        <f>获奖信息!E485</f>
        <v>0</v>
      </c>
      <c r="F487">
        <f>获奖信息!F485</f>
        <v>0</v>
      </c>
      <c r="G487">
        <f>获奖信息!G485</f>
        <v>0</v>
      </c>
      <c r="H487">
        <f>获奖信息!H485</f>
        <v>0</v>
      </c>
      <c r="I487">
        <f>获奖信息!I485</f>
        <v>0</v>
      </c>
      <c r="J487">
        <f>获奖信息!J485</f>
        <v>0</v>
      </c>
      <c r="K487">
        <f>获奖信息!K485</f>
        <v>0</v>
      </c>
      <c r="L487">
        <f>获奖信息!L485</f>
        <v>0</v>
      </c>
      <c r="M487">
        <f>获奖信息!M485</f>
        <v>0</v>
      </c>
      <c r="N487">
        <f>获奖信息!N485</f>
        <v>0</v>
      </c>
      <c r="O487">
        <f>获奖信息!O485</f>
        <v>0</v>
      </c>
    </row>
    <row r="488" spans="1:15" x14ac:dyDescent="0.2">
      <c r="A488">
        <f>获奖信息!A486</f>
        <v>0</v>
      </c>
      <c r="B488">
        <f>获奖信息!B486</f>
        <v>0</v>
      </c>
      <c r="C488">
        <f>获奖信息!C486</f>
        <v>0</v>
      </c>
      <c r="D488">
        <f>获奖信息!D486</f>
        <v>0</v>
      </c>
      <c r="E488">
        <f>获奖信息!E486</f>
        <v>0</v>
      </c>
      <c r="F488">
        <f>获奖信息!F486</f>
        <v>0</v>
      </c>
      <c r="G488">
        <f>获奖信息!G486</f>
        <v>0</v>
      </c>
      <c r="H488">
        <f>获奖信息!H486</f>
        <v>0</v>
      </c>
      <c r="I488">
        <f>获奖信息!I486</f>
        <v>0</v>
      </c>
      <c r="J488">
        <f>获奖信息!J486</f>
        <v>0</v>
      </c>
      <c r="K488">
        <f>获奖信息!K486</f>
        <v>0</v>
      </c>
      <c r="L488">
        <f>获奖信息!L486</f>
        <v>0</v>
      </c>
      <c r="M488">
        <f>获奖信息!M486</f>
        <v>0</v>
      </c>
      <c r="N488">
        <f>获奖信息!N486</f>
        <v>0</v>
      </c>
      <c r="O488">
        <f>获奖信息!O486</f>
        <v>0</v>
      </c>
    </row>
    <row r="489" spans="1:15" x14ac:dyDescent="0.2">
      <c r="A489">
        <f>获奖信息!A487</f>
        <v>0</v>
      </c>
      <c r="B489">
        <f>获奖信息!B487</f>
        <v>0</v>
      </c>
      <c r="C489">
        <f>获奖信息!C487</f>
        <v>0</v>
      </c>
      <c r="D489">
        <f>获奖信息!D487</f>
        <v>0</v>
      </c>
      <c r="E489">
        <f>获奖信息!E487</f>
        <v>0</v>
      </c>
      <c r="F489">
        <f>获奖信息!F487</f>
        <v>0</v>
      </c>
      <c r="G489">
        <f>获奖信息!G487</f>
        <v>0</v>
      </c>
      <c r="H489">
        <f>获奖信息!H487</f>
        <v>0</v>
      </c>
      <c r="I489">
        <f>获奖信息!I487</f>
        <v>0</v>
      </c>
      <c r="J489">
        <f>获奖信息!J487</f>
        <v>0</v>
      </c>
      <c r="K489">
        <f>获奖信息!K487</f>
        <v>0</v>
      </c>
      <c r="L489">
        <f>获奖信息!L487</f>
        <v>0</v>
      </c>
      <c r="M489">
        <f>获奖信息!M487</f>
        <v>0</v>
      </c>
      <c r="N489">
        <f>获奖信息!N487</f>
        <v>0</v>
      </c>
      <c r="O489">
        <f>获奖信息!O487</f>
        <v>0</v>
      </c>
    </row>
    <row r="490" spans="1:15" x14ac:dyDescent="0.2">
      <c r="A490">
        <f>获奖信息!A488</f>
        <v>0</v>
      </c>
      <c r="B490">
        <f>获奖信息!B488</f>
        <v>0</v>
      </c>
      <c r="C490">
        <f>获奖信息!C488</f>
        <v>0</v>
      </c>
      <c r="D490">
        <f>获奖信息!D488</f>
        <v>0</v>
      </c>
      <c r="E490">
        <f>获奖信息!E488</f>
        <v>0</v>
      </c>
      <c r="F490">
        <f>获奖信息!F488</f>
        <v>0</v>
      </c>
      <c r="G490">
        <f>获奖信息!G488</f>
        <v>0</v>
      </c>
      <c r="H490">
        <f>获奖信息!H488</f>
        <v>0</v>
      </c>
      <c r="I490">
        <f>获奖信息!I488</f>
        <v>0</v>
      </c>
      <c r="J490">
        <f>获奖信息!J488</f>
        <v>0</v>
      </c>
      <c r="K490">
        <f>获奖信息!K488</f>
        <v>0</v>
      </c>
      <c r="L490">
        <f>获奖信息!L488</f>
        <v>0</v>
      </c>
      <c r="M490">
        <f>获奖信息!M488</f>
        <v>0</v>
      </c>
      <c r="N490">
        <f>获奖信息!N488</f>
        <v>0</v>
      </c>
      <c r="O490">
        <f>获奖信息!O488</f>
        <v>0</v>
      </c>
    </row>
    <row r="491" spans="1:15" x14ac:dyDescent="0.2">
      <c r="A491">
        <f>获奖信息!A489</f>
        <v>0</v>
      </c>
      <c r="B491">
        <f>获奖信息!B489</f>
        <v>0</v>
      </c>
      <c r="C491">
        <f>获奖信息!C489</f>
        <v>0</v>
      </c>
      <c r="D491">
        <f>获奖信息!D489</f>
        <v>0</v>
      </c>
      <c r="E491">
        <f>获奖信息!E489</f>
        <v>0</v>
      </c>
      <c r="F491">
        <f>获奖信息!F489</f>
        <v>0</v>
      </c>
      <c r="G491">
        <f>获奖信息!G489</f>
        <v>0</v>
      </c>
      <c r="H491">
        <f>获奖信息!H489</f>
        <v>0</v>
      </c>
      <c r="I491">
        <f>获奖信息!I489</f>
        <v>0</v>
      </c>
      <c r="J491">
        <f>获奖信息!J489</f>
        <v>0</v>
      </c>
      <c r="K491">
        <f>获奖信息!K489</f>
        <v>0</v>
      </c>
      <c r="L491">
        <f>获奖信息!L489</f>
        <v>0</v>
      </c>
      <c r="M491">
        <f>获奖信息!M489</f>
        <v>0</v>
      </c>
      <c r="N491">
        <f>获奖信息!N489</f>
        <v>0</v>
      </c>
      <c r="O491">
        <f>获奖信息!O489</f>
        <v>0</v>
      </c>
    </row>
    <row r="492" spans="1:15" x14ac:dyDescent="0.2">
      <c r="A492">
        <f>获奖信息!A490</f>
        <v>0</v>
      </c>
      <c r="B492">
        <f>获奖信息!B490</f>
        <v>0</v>
      </c>
      <c r="C492">
        <f>获奖信息!C490</f>
        <v>0</v>
      </c>
      <c r="D492">
        <f>获奖信息!D490</f>
        <v>0</v>
      </c>
      <c r="E492">
        <f>获奖信息!E490</f>
        <v>0</v>
      </c>
      <c r="F492">
        <f>获奖信息!F490</f>
        <v>0</v>
      </c>
      <c r="G492">
        <f>获奖信息!G490</f>
        <v>0</v>
      </c>
      <c r="H492">
        <f>获奖信息!H490</f>
        <v>0</v>
      </c>
      <c r="I492">
        <f>获奖信息!I490</f>
        <v>0</v>
      </c>
      <c r="J492">
        <f>获奖信息!J490</f>
        <v>0</v>
      </c>
      <c r="K492">
        <f>获奖信息!K490</f>
        <v>0</v>
      </c>
      <c r="L492">
        <f>获奖信息!L490</f>
        <v>0</v>
      </c>
      <c r="M492">
        <f>获奖信息!M490</f>
        <v>0</v>
      </c>
      <c r="N492">
        <f>获奖信息!N490</f>
        <v>0</v>
      </c>
      <c r="O492">
        <f>获奖信息!O490</f>
        <v>0</v>
      </c>
    </row>
    <row r="493" spans="1:15" x14ac:dyDescent="0.2">
      <c r="A493">
        <f>获奖信息!A491</f>
        <v>0</v>
      </c>
      <c r="B493">
        <f>获奖信息!B491</f>
        <v>0</v>
      </c>
      <c r="C493">
        <f>获奖信息!C491</f>
        <v>0</v>
      </c>
      <c r="D493">
        <f>获奖信息!D491</f>
        <v>0</v>
      </c>
      <c r="E493">
        <f>获奖信息!E491</f>
        <v>0</v>
      </c>
      <c r="F493">
        <f>获奖信息!F491</f>
        <v>0</v>
      </c>
      <c r="G493">
        <f>获奖信息!G491</f>
        <v>0</v>
      </c>
      <c r="H493">
        <f>获奖信息!H491</f>
        <v>0</v>
      </c>
      <c r="I493">
        <f>获奖信息!I491</f>
        <v>0</v>
      </c>
      <c r="J493">
        <f>获奖信息!J491</f>
        <v>0</v>
      </c>
      <c r="K493">
        <f>获奖信息!K491</f>
        <v>0</v>
      </c>
      <c r="L493">
        <f>获奖信息!L491</f>
        <v>0</v>
      </c>
      <c r="M493">
        <f>获奖信息!M491</f>
        <v>0</v>
      </c>
      <c r="N493">
        <f>获奖信息!N491</f>
        <v>0</v>
      </c>
      <c r="O493">
        <f>获奖信息!O491</f>
        <v>0</v>
      </c>
    </row>
    <row r="494" spans="1:15" x14ac:dyDescent="0.2">
      <c r="A494">
        <f>获奖信息!A492</f>
        <v>0</v>
      </c>
      <c r="B494">
        <f>获奖信息!B492</f>
        <v>0</v>
      </c>
      <c r="C494">
        <f>获奖信息!C492</f>
        <v>0</v>
      </c>
      <c r="D494">
        <f>获奖信息!D492</f>
        <v>0</v>
      </c>
      <c r="E494">
        <f>获奖信息!E492</f>
        <v>0</v>
      </c>
      <c r="F494">
        <f>获奖信息!F492</f>
        <v>0</v>
      </c>
      <c r="G494">
        <f>获奖信息!G492</f>
        <v>0</v>
      </c>
      <c r="H494">
        <f>获奖信息!H492</f>
        <v>0</v>
      </c>
      <c r="I494">
        <f>获奖信息!I492</f>
        <v>0</v>
      </c>
      <c r="J494">
        <f>获奖信息!J492</f>
        <v>0</v>
      </c>
      <c r="K494">
        <f>获奖信息!K492</f>
        <v>0</v>
      </c>
      <c r="L494">
        <f>获奖信息!L492</f>
        <v>0</v>
      </c>
      <c r="M494">
        <f>获奖信息!M492</f>
        <v>0</v>
      </c>
      <c r="N494">
        <f>获奖信息!N492</f>
        <v>0</v>
      </c>
      <c r="O494">
        <f>获奖信息!O492</f>
        <v>0</v>
      </c>
    </row>
    <row r="495" spans="1:15" x14ac:dyDescent="0.2">
      <c r="A495">
        <f>获奖信息!A493</f>
        <v>0</v>
      </c>
      <c r="B495">
        <f>获奖信息!B493</f>
        <v>0</v>
      </c>
      <c r="C495">
        <f>获奖信息!C493</f>
        <v>0</v>
      </c>
      <c r="D495">
        <f>获奖信息!D493</f>
        <v>0</v>
      </c>
      <c r="E495">
        <f>获奖信息!E493</f>
        <v>0</v>
      </c>
      <c r="F495">
        <f>获奖信息!F493</f>
        <v>0</v>
      </c>
      <c r="G495">
        <f>获奖信息!G493</f>
        <v>0</v>
      </c>
      <c r="H495">
        <f>获奖信息!H493</f>
        <v>0</v>
      </c>
      <c r="I495">
        <f>获奖信息!I493</f>
        <v>0</v>
      </c>
      <c r="J495">
        <f>获奖信息!J493</f>
        <v>0</v>
      </c>
      <c r="K495">
        <f>获奖信息!K493</f>
        <v>0</v>
      </c>
      <c r="L495">
        <f>获奖信息!L493</f>
        <v>0</v>
      </c>
      <c r="M495">
        <f>获奖信息!M493</f>
        <v>0</v>
      </c>
      <c r="N495">
        <f>获奖信息!N493</f>
        <v>0</v>
      </c>
      <c r="O495">
        <f>获奖信息!O493</f>
        <v>0</v>
      </c>
    </row>
    <row r="496" spans="1:15" x14ac:dyDescent="0.2">
      <c r="A496">
        <f>获奖信息!A494</f>
        <v>0</v>
      </c>
      <c r="B496">
        <f>获奖信息!B494</f>
        <v>0</v>
      </c>
      <c r="C496">
        <f>获奖信息!C494</f>
        <v>0</v>
      </c>
      <c r="D496">
        <f>获奖信息!D494</f>
        <v>0</v>
      </c>
      <c r="E496">
        <f>获奖信息!E494</f>
        <v>0</v>
      </c>
      <c r="F496">
        <f>获奖信息!F494</f>
        <v>0</v>
      </c>
      <c r="G496">
        <f>获奖信息!G494</f>
        <v>0</v>
      </c>
      <c r="H496">
        <f>获奖信息!H494</f>
        <v>0</v>
      </c>
      <c r="I496">
        <f>获奖信息!I494</f>
        <v>0</v>
      </c>
      <c r="J496">
        <f>获奖信息!J494</f>
        <v>0</v>
      </c>
      <c r="K496">
        <f>获奖信息!K494</f>
        <v>0</v>
      </c>
      <c r="L496">
        <f>获奖信息!L494</f>
        <v>0</v>
      </c>
      <c r="M496">
        <f>获奖信息!M494</f>
        <v>0</v>
      </c>
      <c r="N496">
        <f>获奖信息!N494</f>
        <v>0</v>
      </c>
      <c r="O496">
        <f>获奖信息!O494</f>
        <v>0</v>
      </c>
    </row>
    <row r="497" spans="1:15" x14ac:dyDescent="0.2">
      <c r="A497">
        <f>获奖信息!A495</f>
        <v>0</v>
      </c>
      <c r="B497">
        <f>获奖信息!B495</f>
        <v>0</v>
      </c>
      <c r="C497">
        <f>获奖信息!C495</f>
        <v>0</v>
      </c>
      <c r="D497">
        <f>获奖信息!D495</f>
        <v>0</v>
      </c>
      <c r="E497">
        <f>获奖信息!E495</f>
        <v>0</v>
      </c>
      <c r="F497">
        <f>获奖信息!F495</f>
        <v>0</v>
      </c>
      <c r="G497">
        <f>获奖信息!G495</f>
        <v>0</v>
      </c>
      <c r="H497">
        <f>获奖信息!H495</f>
        <v>0</v>
      </c>
      <c r="I497">
        <f>获奖信息!I495</f>
        <v>0</v>
      </c>
      <c r="J497">
        <f>获奖信息!J495</f>
        <v>0</v>
      </c>
      <c r="K497">
        <f>获奖信息!K495</f>
        <v>0</v>
      </c>
      <c r="L497">
        <f>获奖信息!L495</f>
        <v>0</v>
      </c>
      <c r="M497">
        <f>获奖信息!M495</f>
        <v>0</v>
      </c>
      <c r="N497">
        <f>获奖信息!N495</f>
        <v>0</v>
      </c>
      <c r="O497">
        <f>获奖信息!O495</f>
        <v>0</v>
      </c>
    </row>
    <row r="498" spans="1:15" x14ac:dyDescent="0.2">
      <c r="A498">
        <f>获奖信息!A496</f>
        <v>0</v>
      </c>
      <c r="B498">
        <f>获奖信息!B496</f>
        <v>0</v>
      </c>
      <c r="C498">
        <f>获奖信息!C496</f>
        <v>0</v>
      </c>
      <c r="D498">
        <f>获奖信息!D496</f>
        <v>0</v>
      </c>
      <c r="E498">
        <f>获奖信息!E496</f>
        <v>0</v>
      </c>
      <c r="F498">
        <f>获奖信息!F496</f>
        <v>0</v>
      </c>
      <c r="G498">
        <f>获奖信息!G496</f>
        <v>0</v>
      </c>
      <c r="H498">
        <f>获奖信息!H496</f>
        <v>0</v>
      </c>
      <c r="I498">
        <f>获奖信息!I496</f>
        <v>0</v>
      </c>
      <c r="J498">
        <f>获奖信息!J496</f>
        <v>0</v>
      </c>
      <c r="K498">
        <f>获奖信息!K496</f>
        <v>0</v>
      </c>
      <c r="L498">
        <f>获奖信息!L496</f>
        <v>0</v>
      </c>
      <c r="M498">
        <f>获奖信息!M496</f>
        <v>0</v>
      </c>
      <c r="N498">
        <f>获奖信息!N496</f>
        <v>0</v>
      </c>
      <c r="O498">
        <f>获奖信息!O496</f>
        <v>0</v>
      </c>
    </row>
    <row r="499" spans="1:15" x14ac:dyDescent="0.2">
      <c r="A499">
        <f>获奖信息!A497</f>
        <v>0</v>
      </c>
      <c r="B499">
        <f>获奖信息!B497</f>
        <v>0</v>
      </c>
      <c r="C499">
        <f>获奖信息!C497</f>
        <v>0</v>
      </c>
      <c r="D499">
        <f>获奖信息!D497</f>
        <v>0</v>
      </c>
      <c r="E499">
        <f>获奖信息!E497</f>
        <v>0</v>
      </c>
      <c r="F499">
        <f>获奖信息!F497</f>
        <v>0</v>
      </c>
      <c r="G499">
        <f>获奖信息!G497</f>
        <v>0</v>
      </c>
      <c r="H499">
        <f>获奖信息!H497</f>
        <v>0</v>
      </c>
      <c r="I499">
        <f>获奖信息!I497</f>
        <v>0</v>
      </c>
      <c r="J499">
        <f>获奖信息!J497</f>
        <v>0</v>
      </c>
      <c r="K499">
        <f>获奖信息!K497</f>
        <v>0</v>
      </c>
      <c r="L499">
        <f>获奖信息!L497</f>
        <v>0</v>
      </c>
      <c r="M499">
        <f>获奖信息!M497</f>
        <v>0</v>
      </c>
      <c r="N499">
        <f>获奖信息!N497</f>
        <v>0</v>
      </c>
      <c r="O499">
        <f>获奖信息!O497</f>
        <v>0</v>
      </c>
    </row>
    <row r="500" spans="1:15" x14ac:dyDescent="0.2">
      <c r="A500">
        <f>获奖信息!A498</f>
        <v>0</v>
      </c>
      <c r="B500">
        <f>获奖信息!B498</f>
        <v>0</v>
      </c>
      <c r="C500">
        <f>获奖信息!C498</f>
        <v>0</v>
      </c>
      <c r="D500">
        <f>获奖信息!D498</f>
        <v>0</v>
      </c>
      <c r="E500">
        <f>获奖信息!E498</f>
        <v>0</v>
      </c>
      <c r="F500">
        <f>获奖信息!F498</f>
        <v>0</v>
      </c>
      <c r="G500">
        <f>获奖信息!G498</f>
        <v>0</v>
      </c>
      <c r="H500">
        <f>获奖信息!H498</f>
        <v>0</v>
      </c>
      <c r="I500">
        <f>获奖信息!I498</f>
        <v>0</v>
      </c>
      <c r="J500">
        <f>获奖信息!J498</f>
        <v>0</v>
      </c>
      <c r="K500">
        <f>获奖信息!K498</f>
        <v>0</v>
      </c>
      <c r="L500">
        <f>获奖信息!L498</f>
        <v>0</v>
      </c>
      <c r="M500">
        <f>获奖信息!M498</f>
        <v>0</v>
      </c>
      <c r="N500">
        <f>获奖信息!N498</f>
        <v>0</v>
      </c>
      <c r="O500">
        <f>获奖信息!O498</f>
        <v>0</v>
      </c>
    </row>
    <row r="501" spans="1:15" x14ac:dyDescent="0.2">
      <c r="A501">
        <f>获奖信息!A499</f>
        <v>0</v>
      </c>
      <c r="B501">
        <f>获奖信息!B499</f>
        <v>0</v>
      </c>
      <c r="C501">
        <f>获奖信息!C499</f>
        <v>0</v>
      </c>
      <c r="D501">
        <f>获奖信息!D499</f>
        <v>0</v>
      </c>
      <c r="E501">
        <f>获奖信息!E499</f>
        <v>0</v>
      </c>
      <c r="F501">
        <f>获奖信息!F499</f>
        <v>0</v>
      </c>
      <c r="G501">
        <f>获奖信息!G499</f>
        <v>0</v>
      </c>
      <c r="H501">
        <f>获奖信息!H499</f>
        <v>0</v>
      </c>
      <c r="I501">
        <f>获奖信息!I499</f>
        <v>0</v>
      </c>
      <c r="J501">
        <f>获奖信息!J499</f>
        <v>0</v>
      </c>
      <c r="K501">
        <f>获奖信息!K499</f>
        <v>0</v>
      </c>
      <c r="L501">
        <f>获奖信息!L499</f>
        <v>0</v>
      </c>
      <c r="M501">
        <f>获奖信息!M499</f>
        <v>0</v>
      </c>
      <c r="N501">
        <f>获奖信息!N499</f>
        <v>0</v>
      </c>
      <c r="O501">
        <f>获奖信息!O499</f>
        <v>0</v>
      </c>
    </row>
    <row r="502" spans="1:15" x14ac:dyDescent="0.2">
      <c r="A502">
        <f>获奖信息!A500</f>
        <v>0</v>
      </c>
      <c r="B502">
        <f>获奖信息!B500</f>
        <v>0</v>
      </c>
      <c r="C502">
        <f>获奖信息!C500</f>
        <v>0</v>
      </c>
      <c r="D502">
        <f>获奖信息!D500</f>
        <v>0</v>
      </c>
      <c r="E502">
        <f>获奖信息!E500</f>
        <v>0</v>
      </c>
      <c r="F502">
        <f>获奖信息!F500</f>
        <v>0</v>
      </c>
      <c r="G502">
        <f>获奖信息!G500</f>
        <v>0</v>
      </c>
      <c r="H502">
        <f>获奖信息!H500</f>
        <v>0</v>
      </c>
      <c r="I502">
        <f>获奖信息!I500</f>
        <v>0</v>
      </c>
      <c r="J502">
        <f>获奖信息!J500</f>
        <v>0</v>
      </c>
      <c r="K502">
        <f>获奖信息!K500</f>
        <v>0</v>
      </c>
      <c r="L502">
        <f>获奖信息!L500</f>
        <v>0</v>
      </c>
      <c r="M502">
        <f>获奖信息!M500</f>
        <v>0</v>
      </c>
      <c r="N502">
        <f>获奖信息!N500</f>
        <v>0</v>
      </c>
      <c r="O502">
        <f>获奖信息!O500</f>
        <v>0</v>
      </c>
    </row>
    <row r="503" spans="1:15" x14ac:dyDescent="0.2">
      <c r="A503">
        <f>获奖信息!A501</f>
        <v>0</v>
      </c>
      <c r="B503">
        <f>获奖信息!B501</f>
        <v>0</v>
      </c>
      <c r="C503">
        <f>获奖信息!C501</f>
        <v>0</v>
      </c>
      <c r="D503">
        <f>获奖信息!D501</f>
        <v>0</v>
      </c>
      <c r="E503">
        <f>获奖信息!E501</f>
        <v>0</v>
      </c>
      <c r="F503">
        <f>获奖信息!F501</f>
        <v>0</v>
      </c>
      <c r="G503">
        <f>获奖信息!G501</f>
        <v>0</v>
      </c>
      <c r="H503">
        <f>获奖信息!H501</f>
        <v>0</v>
      </c>
      <c r="I503">
        <f>获奖信息!I501</f>
        <v>0</v>
      </c>
      <c r="J503">
        <f>获奖信息!J501</f>
        <v>0</v>
      </c>
      <c r="K503">
        <f>获奖信息!K501</f>
        <v>0</v>
      </c>
      <c r="L503">
        <f>获奖信息!L501</f>
        <v>0</v>
      </c>
      <c r="M503">
        <f>获奖信息!M501</f>
        <v>0</v>
      </c>
      <c r="N503">
        <f>获奖信息!N501</f>
        <v>0</v>
      </c>
      <c r="O503">
        <f>获奖信息!O501</f>
        <v>0</v>
      </c>
    </row>
    <row r="504" spans="1:15" x14ac:dyDescent="0.2">
      <c r="A504">
        <f>获奖信息!A502</f>
        <v>0</v>
      </c>
      <c r="B504">
        <f>获奖信息!B502</f>
        <v>0</v>
      </c>
      <c r="C504">
        <f>获奖信息!C502</f>
        <v>0</v>
      </c>
      <c r="D504">
        <f>获奖信息!D502</f>
        <v>0</v>
      </c>
      <c r="E504">
        <f>获奖信息!E502</f>
        <v>0</v>
      </c>
      <c r="F504">
        <f>获奖信息!F502</f>
        <v>0</v>
      </c>
      <c r="G504">
        <f>获奖信息!G502</f>
        <v>0</v>
      </c>
      <c r="H504">
        <f>获奖信息!H502</f>
        <v>0</v>
      </c>
      <c r="I504">
        <f>获奖信息!I502</f>
        <v>0</v>
      </c>
      <c r="J504">
        <f>获奖信息!J502</f>
        <v>0</v>
      </c>
      <c r="K504">
        <f>获奖信息!K502</f>
        <v>0</v>
      </c>
      <c r="L504">
        <f>获奖信息!L502</f>
        <v>0</v>
      </c>
      <c r="M504">
        <f>获奖信息!M502</f>
        <v>0</v>
      </c>
      <c r="N504">
        <f>获奖信息!N502</f>
        <v>0</v>
      </c>
      <c r="O504">
        <f>获奖信息!O502</f>
        <v>0</v>
      </c>
    </row>
    <row r="505" spans="1:15" x14ac:dyDescent="0.2">
      <c r="A505">
        <f>获奖信息!A503</f>
        <v>0</v>
      </c>
      <c r="B505">
        <f>获奖信息!B503</f>
        <v>0</v>
      </c>
      <c r="C505">
        <f>获奖信息!C503</f>
        <v>0</v>
      </c>
      <c r="D505">
        <f>获奖信息!D503</f>
        <v>0</v>
      </c>
      <c r="E505">
        <f>获奖信息!E503</f>
        <v>0</v>
      </c>
      <c r="F505">
        <f>获奖信息!F503</f>
        <v>0</v>
      </c>
      <c r="G505">
        <f>获奖信息!G503</f>
        <v>0</v>
      </c>
      <c r="H505">
        <f>获奖信息!H503</f>
        <v>0</v>
      </c>
      <c r="I505">
        <f>获奖信息!I503</f>
        <v>0</v>
      </c>
      <c r="J505">
        <f>获奖信息!J503</f>
        <v>0</v>
      </c>
      <c r="K505">
        <f>获奖信息!K503</f>
        <v>0</v>
      </c>
      <c r="L505">
        <f>获奖信息!L503</f>
        <v>0</v>
      </c>
      <c r="M505">
        <f>获奖信息!M503</f>
        <v>0</v>
      </c>
      <c r="N505">
        <f>获奖信息!N503</f>
        <v>0</v>
      </c>
      <c r="O505">
        <f>获奖信息!O503</f>
        <v>0</v>
      </c>
    </row>
    <row r="506" spans="1:15" x14ac:dyDescent="0.2">
      <c r="A506">
        <f>获奖信息!A504</f>
        <v>0</v>
      </c>
      <c r="B506">
        <f>获奖信息!B504</f>
        <v>0</v>
      </c>
      <c r="C506">
        <f>获奖信息!C504</f>
        <v>0</v>
      </c>
      <c r="D506">
        <f>获奖信息!D504</f>
        <v>0</v>
      </c>
      <c r="E506">
        <f>获奖信息!E504</f>
        <v>0</v>
      </c>
      <c r="F506">
        <f>获奖信息!F504</f>
        <v>0</v>
      </c>
      <c r="G506">
        <f>获奖信息!G504</f>
        <v>0</v>
      </c>
      <c r="H506">
        <f>获奖信息!H504</f>
        <v>0</v>
      </c>
      <c r="I506">
        <f>获奖信息!I504</f>
        <v>0</v>
      </c>
      <c r="J506">
        <f>获奖信息!J504</f>
        <v>0</v>
      </c>
      <c r="K506">
        <f>获奖信息!K504</f>
        <v>0</v>
      </c>
      <c r="L506">
        <f>获奖信息!L504</f>
        <v>0</v>
      </c>
      <c r="M506">
        <f>获奖信息!M504</f>
        <v>0</v>
      </c>
      <c r="N506">
        <f>获奖信息!N504</f>
        <v>0</v>
      </c>
      <c r="O506">
        <f>获奖信息!O504</f>
        <v>0</v>
      </c>
    </row>
    <row r="507" spans="1:15" x14ac:dyDescent="0.2">
      <c r="A507">
        <f>获奖信息!A505</f>
        <v>0</v>
      </c>
      <c r="B507">
        <f>获奖信息!B505</f>
        <v>0</v>
      </c>
      <c r="C507">
        <f>获奖信息!C505</f>
        <v>0</v>
      </c>
      <c r="D507">
        <f>获奖信息!D505</f>
        <v>0</v>
      </c>
      <c r="E507">
        <f>获奖信息!E505</f>
        <v>0</v>
      </c>
      <c r="F507">
        <f>获奖信息!F505</f>
        <v>0</v>
      </c>
      <c r="G507">
        <f>获奖信息!G505</f>
        <v>0</v>
      </c>
      <c r="H507">
        <f>获奖信息!H505</f>
        <v>0</v>
      </c>
      <c r="I507">
        <f>获奖信息!I505</f>
        <v>0</v>
      </c>
      <c r="J507">
        <f>获奖信息!J505</f>
        <v>0</v>
      </c>
      <c r="K507">
        <f>获奖信息!K505</f>
        <v>0</v>
      </c>
      <c r="L507">
        <f>获奖信息!L505</f>
        <v>0</v>
      </c>
      <c r="M507">
        <f>获奖信息!M505</f>
        <v>0</v>
      </c>
      <c r="N507">
        <f>获奖信息!N505</f>
        <v>0</v>
      </c>
      <c r="O507">
        <f>获奖信息!O505</f>
        <v>0</v>
      </c>
    </row>
    <row r="508" spans="1:15" x14ac:dyDescent="0.2">
      <c r="A508">
        <f>获奖信息!A506</f>
        <v>0</v>
      </c>
      <c r="B508">
        <f>获奖信息!B506</f>
        <v>0</v>
      </c>
      <c r="C508">
        <f>获奖信息!C506</f>
        <v>0</v>
      </c>
      <c r="D508">
        <f>获奖信息!D506</f>
        <v>0</v>
      </c>
      <c r="E508">
        <f>获奖信息!E506</f>
        <v>0</v>
      </c>
      <c r="F508">
        <f>获奖信息!F506</f>
        <v>0</v>
      </c>
      <c r="G508">
        <f>获奖信息!G506</f>
        <v>0</v>
      </c>
      <c r="H508">
        <f>获奖信息!H506</f>
        <v>0</v>
      </c>
      <c r="I508">
        <f>获奖信息!I506</f>
        <v>0</v>
      </c>
      <c r="J508">
        <f>获奖信息!J506</f>
        <v>0</v>
      </c>
      <c r="K508">
        <f>获奖信息!K506</f>
        <v>0</v>
      </c>
      <c r="L508">
        <f>获奖信息!L506</f>
        <v>0</v>
      </c>
      <c r="M508">
        <f>获奖信息!M506</f>
        <v>0</v>
      </c>
      <c r="N508">
        <f>获奖信息!N506</f>
        <v>0</v>
      </c>
      <c r="O508">
        <f>获奖信息!O506</f>
        <v>0</v>
      </c>
    </row>
    <row r="509" spans="1:15" x14ac:dyDescent="0.2">
      <c r="A509">
        <f>获奖信息!A507</f>
        <v>0</v>
      </c>
      <c r="B509">
        <f>获奖信息!B507</f>
        <v>0</v>
      </c>
      <c r="C509">
        <f>获奖信息!C507</f>
        <v>0</v>
      </c>
      <c r="D509">
        <f>获奖信息!D507</f>
        <v>0</v>
      </c>
      <c r="E509">
        <f>获奖信息!E507</f>
        <v>0</v>
      </c>
      <c r="F509">
        <f>获奖信息!F507</f>
        <v>0</v>
      </c>
      <c r="G509">
        <f>获奖信息!G507</f>
        <v>0</v>
      </c>
      <c r="H509">
        <f>获奖信息!H507</f>
        <v>0</v>
      </c>
      <c r="I509">
        <f>获奖信息!I507</f>
        <v>0</v>
      </c>
      <c r="J509">
        <f>获奖信息!J507</f>
        <v>0</v>
      </c>
      <c r="K509">
        <f>获奖信息!K507</f>
        <v>0</v>
      </c>
      <c r="L509">
        <f>获奖信息!L507</f>
        <v>0</v>
      </c>
      <c r="M509">
        <f>获奖信息!M507</f>
        <v>0</v>
      </c>
      <c r="N509">
        <f>获奖信息!N507</f>
        <v>0</v>
      </c>
      <c r="O509">
        <f>获奖信息!O507</f>
        <v>0</v>
      </c>
    </row>
    <row r="510" spans="1:15" x14ac:dyDescent="0.2">
      <c r="A510">
        <f>获奖信息!A508</f>
        <v>0</v>
      </c>
      <c r="B510">
        <f>获奖信息!B508</f>
        <v>0</v>
      </c>
      <c r="C510">
        <f>获奖信息!C508</f>
        <v>0</v>
      </c>
      <c r="D510">
        <f>获奖信息!D508</f>
        <v>0</v>
      </c>
      <c r="E510">
        <f>获奖信息!E508</f>
        <v>0</v>
      </c>
      <c r="F510">
        <f>获奖信息!F508</f>
        <v>0</v>
      </c>
      <c r="G510">
        <f>获奖信息!G508</f>
        <v>0</v>
      </c>
      <c r="H510">
        <f>获奖信息!H508</f>
        <v>0</v>
      </c>
      <c r="I510">
        <f>获奖信息!I508</f>
        <v>0</v>
      </c>
      <c r="J510">
        <f>获奖信息!J508</f>
        <v>0</v>
      </c>
      <c r="K510">
        <f>获奖信息!K508</f>
        <v>0</v>
      </c>
      <c r="L510">
        <f>获奖信息!L508</f>
        <v>0</v>
      </c>
      <c r="M510">
        <f>获奖信息!M508</f>
        <v>0</v>
      </c>
      <c r="N510">
        <f>获奖信息!N508</f>
        <v>0</v>
      </c>
      <c r="O510">
        <f>获奖信息!O508</f>
        <v>0</v>
      </c>
    </row>
    <row r="511" spans="1:15" x14ac:dyDescent="0.2">
      <c r="A511">
        <f>获奖信息!A509</f>
        <v>0</v>
      </c>
      <c r="B511">
        <f>获奖信息!B509</f>
        <v>0</v>
      </c>
      <c r="C511">
        <f>获奖信息!C509</f>
        <v>0</v>
      </c>
      <c r="D511">
        <f>获奖信息!D509</f>
        <v>0</v>
      </c>
      <c r="E511">
        <f>获奖信息!E509</f>
        <v>0</v>
      </c>
      <c r="F511">
        <f>获奖信息!F509</f>
        <v>0</v>
      </c>
      <c r="G511">
        <f>获奖信息!G509</f>
        <v>0</v>
      </c>
      <c r="H511">
        <f>获奖信息!H509</f>
        <v>0</v>
      </c>
      <c r="I511">
        <f>获奖信息!I509</f>
        <v>0</v>
      </c>
      <c r="J511">
        <f>获奖信息!J509</f>
        <v>0</v>
      </c>
      <c r="K511">
        <f>获奖信息!K509</f>
        <v>0</v>
      </c>
      <c r="L511">
        <f>获奖信息!L509</f>
        <v>0</v>
      </c>
      <c r="M511">
        <f>获奖信息!M509</f>
        <v>0</v>
      </c>
      <c r="N511">
        <f>获奖信息!N509</f>
        <v>0</v>
      </c>
      <c r="O511">
        <f>获奖信息!O509</f>
        <v>0</v>
      </c>
    </row>
    <row r="512" spans="1:15" x14ac:dyDescent="0.2">
      <c r="A512">
        <f>获奖信息!A510</f>
        <v>0</v>
      </c>
      <c r="B512">
        <f>获奖信息!B510</f>
        <v>0</v>
      </c>
      <c r="C512">
        <f>获奖信息!C510</f>
        <v>0</v>
      </c>
      <c r="D512">
        <f>获奖信息!D510</f>
        <v>0</v>
      </c>
      <c r="E512">
        <f>获奖信息!E510</f>
        <v>0</v>
      </c>
      <c r="F512">
        <f>获奖信息!F510</f>
        <v>0</v>
      </c>
      <c r="G512">
        <f>获奖信息!G510</f>
        <v>0</v>
      </c>
      <c r="H512">
        <f>获奖信息!H510</f>
        <v>0</v>
      </c>
      <c r="I512">
        <f>获奖信息!I510</f>
        <v>0</v>
      </c>
      <c r="J512">
        <f>获奖信息!J510</f>
        <v>0</v>
      </c>
      <c r="K512">
        <f>获奖信息!K510</f>
        <v>0</v>
      </c>
      <c r="L512">
        <f>获奖信息!L510</f>
        <v>0</v>
      </c>
      <c r="M512">
        <f>获奖信息!M510</f>
        <v>0</v>
      </c>
      <c r="N512">
        <f>获奖信息!N510</f>
        <v>0</v>
      </c>
      <c r="O512">
        <f>获奖信息!O510</f>
        <v>0</v>
      </c>
    </row>
    <row r="513" spans="1:15" x14ac:dyDescent="0.2">
      <c r="A513">
        <f>获奖信息!A511</f>
        <v>0</v>
      </c>
      <c r="B513">
        <f>获奖信息!B511</f>
        <v>0</v>
      </c>
      <c r="C513">
        <f>获奖信息!C511</f>
        <v>0</v>
      </c>
      <c r="D513">
        <f>获奖信息!D511</f>
        <v>0</v>
      </c>
      <c r="E513">
        <f>获奖信息!E511</f>
        <v>0</v>
      </c>
      <c r="F513">
        <f>获奖信息!F511</f>
        <v>0</v>
      </c>
      <c r="G513">
        <f>获奖信息!G511</f>
        <v>0</v>
      </c>
      <c r="H513">
        <f>获奖信息!H511</f>
        <v>0</v>
      </c>
      <c r="I513">
        <f>获奖信息!I511</f>
        <v>0</v>
      </c>
      <c r="J513">
        <f>获奖信息!J511</f>
        <v>0</v>
      </c>
      <c r="K513">
        <f>获奖信息!K511</f>
        <v>0</v>
      </c>
      <c r="L513">
        <f>获奖信息!L511</f>
        <v>0</v>
      </c>
      <c r="M513">
        <f>获奖信息!M511</f>
        <v>0</v>
      </c>
      <c r="N513">
        <f>获奖信息!N511</f>
        <v>0</v>
      </c>
      <c r="O513">
        <f>获奖信息!O511</f>
        <v>0</v>
      </c>
    </row>
    <row r="514" spans="1:15" x14ac:dyDescent="0.2">
      <c r="A514">
        <f>获奖信息!A512</f>
        <v>0</v>
      </c>
      <c r="B514">
        <f>获奖信息!B512</f>
        <v>0</v>
      </c>
      <c r="C514">
        <f>获奖信息!C512</f>
        <v>0</v>
      </c>
      <c r="D514">
        <f>获奖信息!D512</f>
        <v>0</v>
      </c>
      <c r="E514">
        <f>获奖信息!E512</f>
        <v>0</v>
      </c>
      <c r="F514">
        <f>获奖信息!F512</f>
        <v>0</v>
      </c>
      <c r="G514">
        <f>获奖信息!G512</f>
        <v>0</v>
      </c>
      <c r="H514">
        <f>获奖信息!H512</f>
        <v>0</v>
      </c>
      <c r="I514">
        <f>获奖信息!I512</f>
        <v>0</v>
      </c>
      <c r="J514">
        <f>获奖信息!J512</f>
        <v>0</v>
      </c>
      <c r="K514">
        <f>获奖信息!K512</f>
        <v>0</v>
      </c>
      <c r="L514">
        <f>获奖信息!L512</f>
        <v>0</v>
      </c>
      <c r="M514">
        <f>获奖信息!M512</f>
        <v>0</v>
      </c>
      <c r="N514">
        <f>获奖信息!N512</f>
        <v>0</v>
      </c>
      <c r="O514">
        <f>获奖信息!O512</f>
        <v>0</v>
      </c>
    </row>
    <row r="515" spans="1:15" x14ac:dyDescent="0.2">
      <c r="A515">
        <f>获奖信息!A513</f>
        <v>0</v>
      </c>
      <c r="B515">
        <f>获奖信息!B513</f>
        <v>0</v>
      </c>
      <c r="C515">
        <f>获奖信息!C513</f>
        <v>0</v>
      </c>
      <c r="D515">
        <f>获奖信息!D513</f>
        <v>0</v>
      </c>
      <c r="E515">
        <f>获奖信息!E513</f>
        <v>0</v>
      </c>
      <c r="F515">
        <f>获奖信息!F513</f>
        <v>0</v>
      </c>
      <c r="G515">
        <f>获奖信息!G513</f>
        <v>0</v>
      </c>
      <c r="H515">
        <f>获奖信息!H513</f>
        <v>0</v>
      </c>
      <c r="I515">
        <f>获奖信息!I513</f>
        <v>0</v>
      </c>
      <c r="J515">
        <f>获奖信息!J513</f>
        <v>0</v>
      </c>
      <c r="K515">
        <f>获奖信息!K513</f>
        <v>0</v>
      </c>
      <c r="L515">
        <f>获奖信息!L513</f>
        <v>0</v>
      </c>
      <c r="M515">
        <f>获奖信息!M513</f>
        <v>0</v>
      </c>
      <c r="N515">
        <f>获奖信息!N513</f>
        <v>0</v>
      </c>
      <c r="O515">
        <f>获奖信息!O513</f>
        <v>0</v>
      </c>
    </row>
    <row r="516" spans="1:15" x14ac:dyDescent="0.2">
      <c r="A516">
        <f>获奖信息!A514</f>
        <v>0</v>
      </c>
      <c r="B516">
        <f>获奖信息!B514</f>
        <v>0</v>
      </c>
      <c r="C516">
        <f>获奖信息!C514</f>
        <v>0</v>
      </c>
      <c r="D516">
        <f>获奖信息!D514</f>
        <v>0</v>
      </c>
      <c r="E516">
        <f>获奖信息!E514</f>
        <v>0</v>
      </c>
      <c r="F516">
        <f>获奖信息!F514</f>
        <v>0</v>
      </c>
      <c r="G516">
        <f>获奖信息!G514</f>
        <v>0</v>
      </c>
      <c r="H516">
        <f>获奖信息!H514</f>
        <v>0</v>
      </c>
      <c r="I516">
        <f>获奖信息!I514</f>
        <v>0</v>
      </c>
      <c r="J516">
        <f>获奖信息!J514</f>
        <v>0</v>
      </c>
      <c r="K516">
        <f>获奖信息!K514</f>
        <v>0</v>
      </c>
      <c r="L516">
        <f>获奖信息!L514</f>
        <v>0</v>
      </c>
      <c r="M516">
        <f>获奖信息!M514</f>
        <v>0</v>
      </c>
      <c r="N516">
        <f>获奖信息!N514</f>
        <v>0</v>
      </c>
      <c r="O516">
        <f>获奖信息!O514</f>
        <v>0</v>
      </c>
    </row>
    <row r="517" spans="1:15" x14ac:dyDescent="0.2">
      <c r="A517">
        <f>获奖信息!A515</f>
        <v>0</v>
      </c>
      <c r="B517">
        <f>获奖信息!B515</f>
        <v>0</v>
      </c>
      <c r="C517">
        <f>获奖信息!C515</f>
        <v>0</v>
      </c>
      <c r="D517">
        <f>获奖信息!D515</f>
        <v>0</v>
      </c>
      <c r="E517">
        <f>获奖信息!E515</f>
        <v>0</v>
      </c>
      <c r="F517">
        <f>获奖信息!F515</f>
        <v>0</v>
      </c>
      <c r="G517">
        <f>获奖信息!G515</f>
        <v>0</v>
      </c>
      <c r="H517">
        <f>获奖信息!H515</f>
        <v>0</v>
      </c>
      <c r="I517">
        <f>获奖信息!I515</f>
        <v>0</v>
      </c>
      <c r="J517">
        <f>获奖信息!J515</f>
        <v>0</v>
      </c>
      <c r="K517">
        <f>获奖信息!K515</f>
        <v>0</v>
      </c>
      <c r="L517">
        <f>获奖信息!L515</f>
        <v>0</v>
      </c>
      <c r="M517">
        <f>获奖信息!M515</f>
        <v>0</v>
      </c>
      <c r="N517">
        <f>获奖信息!N515</f>
        <v>0</v>
      </c>
      <c r="O517">
        <f>获奖信息!O515</f>
        <v>0</v>
      </c>
    </row>
    <row r="518" spans="1:15" x14ac:dyDescent="0.2">
      <c r="A518">
        <f>获奖信息!A516</f>
        <v>0</v>
      </c>
      <c r="B518">
        <f>获奖信息!B516</f>
        <v>0</v>
      </c>
      <c r="C518">
        <f>获奖信息!C516</f>
        <v>0</v>
      </c>
      <c r="D518">
        <f>获奖信息!D516</f>
        <v>0</v>
      </c>
      <c r="E518">
        <f>获奖信息!E516</f>
        <v>0</v>
      </c>
      <c r="F518">
        <f>获奖信息!F516</f>
        <v>0</v>
      </c>
      <c r="G518">
        <f>获奖信息!G516</f>
        <v>0</v>
      </c>
      <c r="H518">
        <f>获奖信息!H516</f>
        <v>0</v>
      </c>
      <c r="I518">
        <f>获奖信息!I516</f>
        <v>0</v>
      </c>
      <c r="J518">
        <f>获奖信息!J516</f>
        <v>0</v>
      </c>
      <c r="K518">
        <f>获奖信息!K516</f>
        <v>0</v>
      </c>
      <c r="L518">
        <f>获奖信息!L516</f>
        <v>0</v>
      </c>
      <c r="M518">
        <f>获奖信息!M516</f>
        <v>0</v>
      </c>
      <c r="N518">
        <f>获奖信息!N516</f>
        <v>0</v>
      </c>
      <c r="O518">
        <f>获奖信息!O516</f>
        <v>0</v>
      </c>
    </row>
    <row r="519" spans="1:15" x14ac:dyDescent="0.2">
      <c r="A519">
        <f>获奖信息!A517</f>
        <v>0</v>
      </c>
      <c r="B519">
        <f>获奖信息!B517</f>
        <v>0</v>
      </c>
      <c r="C519">
        <f>获奖信息!C517</f>
        <v>0</v>
      </c>
      <c r="D519">
        <f>获奖信息!D517</f>
        <v>0</v>
      </c>
      <c r="E519">
        <f>获奖信息!E517</f>
        <v>0</v>
      </c>
      <c r="F519">
        <f>获奖信息!F517</f>
        <v>0</v>
      </c>
      <c r="G519">
        <f>获奖信息!G517</f>
        <v>0</v>
      </c>
      <c r="H519">
        <f>获奖信息!H517</f>
        <v>0</v>
      </c>
      <c r="I519">
        <f>获奖信息!I517</f>
        <v>0</v>
      </c>
      <c r="J519">
        <f>获奖信息!J517</f>
        <v>0</v>
      </c>
      <c r="K519">
        <f>获奖信息!K517</f>
        <v>0</v>
      </c>
      <c r="L519">
        <f>获奖信息!L517</f>
        <v>0</v>
      </c>
      <c r="M519">
        <f>获奖信息!M517</f>
        <v>0</v>
      </c>
      <c r="N519">
        <f>获奖信息!N517</f>
        <v>0</v>
      </c>
      <c r="O519">
        <f>获奖信息!O517</f>
        <v>0</v>
      </c>
    </row>
    <row r="520" spans="1:15" x14ac:dyDescent="0.2">
      <c r="A520">
        <f>获奖信息!A518</f>
        <v>0</v>
      </c>
      <c r="B520">
        <f>获奖信息!B518</f>
        <v>0</v>
      </c>
      <c r="C520">
        <f>获奖信息!C518</f>
        <v>0</v>
      </c>
      <c r="D520">
        <f>获奖信息!D518</f>
        <v>0</v>
      </c>
      <c r="E520">
        <f>获奖信息!E518</f>
        <v>0</v>
      </c>
      <c r="F520">
        <f>获奖信息!F518</f>
        <v>0</v>
      </c>
      <c r="G520">
        <f>获奖信息!G518</f>
        <v>0</v>
      </c>
      <c r="H520">
        <f>获奖信息!H518</f>
        <v>0</v>
      </c>
      <c r="I520">
        <f>获奖信息!I518</f>
        <v>0</v>
      </c>
      <c r="J520">
        <f>获奖信息!J518</f>
        <v>0</v>
      </c>
      <c r="K520">
        <f>获奖信息!K518</f>
        <v>0</v>
      </c>
      <c r="L520">
        <f>获奖信息!L518</f>
        <v>0</v>
      </c>
      <c r="M520">
        <f>获奖信息!M518</f>
        <v>0</v>
      </c>
      <c r="N520">
        <f>获奖信息!N518</f>
        <v>0</v>
      </c>
      <c r="O520">
        <f>获奖信息!O518</f>
        <v>0</v>
      </c>
    </row>
    <row r="521" spans="1:15" x14ac:dyDescent="0.2">
      <c r="A521">
        <f>获奖信息!A519</f>
        <v>0</v>
      </c>
      <c r="B521">
        <f>获奖信息!B519</f>
        <v>0</v>
      </c>
      <c r="C521">
        <f>获奖信息!C519</f>
        <v>0</v>
      </c>
      <c r="D521">
        <f>获奖信息!D519</f>
        <v>0</v>
      </c>
      <c r="E521">
        <f>获奖信息!E519</f>
        <v>0</v>
      </c>
      <c r="F521">
        <f>获奖信息!F519</f>
        <v>0</v>
      </c>
      <c r="G521">
        <f>获奖信息!G519</f>
        <v>0</v>
      </c>
      <c r="H521">
        <f>获奖信息!H519</f>
        <v>0</v>
      </c>
      <c r="I521">
        <f>获奖信息!I519</f>
        <v>0</v>
      </c>
      <c r="J521">
        <f>获奖信息!J519</f>
        <v>0</v>
      </c>
      <c r="K521">
        <f>获奖信息!K519</f>
        <v>0</v>
      </c>
      <c r="L521">
        <f>获奖信息!L519</f>
        <v>0</v>
      </c>
      <c r="M521">
        <f>获奖信息!M519</f>
        <v>0</v>
      </c>
      <c r="N521">
        <f>获奖信息!N519</f>
        <v>0</v>
      </c>
      <c r="O521">
        <f>获奖信息!O519</f>
        <v>0</v>
      </c>
    </row>
    <row r="522" spans="1:15" x14ac:dyDescent="0.2">
      <c r="A522">
        <f>获奖信息!A520</f>
        <v>0</v>
      </c>
      <c r="B522">
        <f>获奖信息!B520</f>
        <v>0</v>
      </c>
      <c r="C522">
        <f>获奖信息!C520</f>
        <v>0</v>
      </c>
      <c r="D522">
        <f>获奖信息!D520</f>
        <v>0</v>
      </c>
      <c r="E522">
        <f>获奖信息!E520</f>
        <v>0</v>
      </c>
      <c r="F522">
        <f>获奖信息!F520</f>
        <v>0</v>
      </c>
      <c r="G522">
        <f>获奖信息!G520</f>
        <v>0</v>
      </c>
      <c r="H522">
        <f>获奖信息!H520</f>
        <v>0</v>
      </c>
      <c r="I522">
        <f>获奖信息!I520</f>
        <v>0</v>
      </c>
      <c r="J522">
        <f>获奖信息!J520</f>
        <v>0</v>
      </c>
      <c r="K522">
        <f>获奖信息!K520</f>
        <v>0</v>
      </c>
      <c r="L522">
        <f>获奖信息!L520</f>
        <v>0</v>
      </c>
      <c r="M522">
        <f>获奖信息!M520</f>
        <v>0</v>
      </c>
      <c r="N522">
        <f>获奖信息!N520</f>
        <v>0</v>
      </c>
      <c r="O522">
        <f>获奖信息!O520</f>
        <v>0</v>
      </c>
    </row>
    <row r="523" spans="1:15" x14ac:dyDescent="0.2">
      <c r="A523">
        <f>获奖信息!A521</f>
        <v>0</v>
      </c>
      <c r="B523">
        <f>获奖信息!B521</f>
        <v>0</v>
      </c>
      <c r="C523">
        <f>获奖信息!C521</f>
        <v>0</v>
      </c>
      <c r="D523">
        <f>获奖信息!D521</f>
        <v>0</v>
      </c>
      <c r="E523">
        <f>获奖信息!E521</f>
        <v>0</v>
      </c>
      <c r="F523">
        <f>获奖信息!F521</f>
        <v>0</v>
      </c>
      <c r="G523">
        <f>获奖信息!G521</f>
        <v>0</v>
      </c>
      <c r="H523">
        <f>获奖信息!H521</f>
        <v>0</v>
      </c>
      <c r="I523">
        <f>获奖信息!I521</f>
        <v>0</v>
      </c>
      <c r="J523">
        <f>获奖信息!J521</f>
        <v>0</v>
      </c>
      <c r="K523">
        <f>获奖信息!K521</f>
        <v>0</v>
      </c>
      <c r="L523">
        <f>获奖信息!L521</f>
        <v>0</v>
      </c>
      <c r="M523">
        <f>获奖信息!M521</f>
        <v>0</v>
      </c>
      <c r="N523">
        <f>获奖信息!N521</f>
        <v>0</v>
      </c>
      <c r="O523">
        <f>获奖信息!O521</f>
        <v>0</v>
      </c>
    </row>
    <row r="524" spans="1:15" x14ac:dyDescent="0.2">
      <c r="A524">
        <f>获奖信息!A522</f>
        <v>0</v>
      </c>
      <c r="B524">
        <f>获奖信息!B522</f>
        <v>0</v>
      </c>
      <c r="C524">
        <f>获奖信息!C522</f>
        <v>0</v>
      </c>
      <c r="D524">
        <f>获奖信息!D522</f>
        <v>0</v>
      </c>
      <c r="E524">
        <f>获奖信息!E522</f>
        <v>0</v>
      </c>
      <c r="F524">
        <f>获奖信息!F522</f>
        <v>0</v>
      </c>
      <c r="G524">
        <f>获奖信息!G522</f>
        <v>0</v>
      </c>
      <c r="H524">
        <f>获奖信息!H522</f>
        <v>0</v>
      </c>
      <c r="I524">
        <f>获奖信息!I522</f>
        <v>0</v>
      </c>
      <c r="J524">
        <f>获奖信息!J522</f>
        <v>0</v>
      </c>
      <c r="K524">
        <f>获奖信息!K522</f>
        <v>0</v>
      </c>
      <c r="L524">
        <f>获奖信息!L522</f>
        <v>0</v>
      </c>
      <c r="M524">
        <f>获奖信息!M522</f>
        <v>0</v>
      </c>
      <c r="N524">
        <f>获奖信息!N522</f>
        <v>0</v>
      </c>
      <c r="O524">
        <f>获奖信息!O522</f>
        <v>0</v>
      </c>
    </row>
    <row r="525" spans="1:15" x14ac:dyDescent="0.2">
      <c r="A525">
        <f>获奖信息!A523</f>
        <v>0</v>
      </c>
      <c r="B525">
        <f>获奖信息!B523</f>
        <v>0</v>
      </c>
      <c r="C525">
        <f>获奖信息!C523</f>
        <v>0</v>
      </c>
      <c r="D525">
        <f>获奖信息!D523</f>
        <v>0</v>
      </c>
      <c r="E525">
        <f>获奖信息!E523</f>
        <v>0</v>
      </c>
      <c r="F525">
        <f>获奖信息!F523</f>
        <v>0</v>
      </c>
      <c r="G525">
        <f>获奖信息!G523</f>
        <v>0</v>
      </c>
      <c r="H525">
        <f>获奖信息!H523</f>
        <v>0</v>
      </c>
      <c r="I525">
        <f>获奖信息!I523</f>
        <v>0</v>
      </c>
      <c r="J525">
        <f>获奖信息!J523</f>
        <v>0</v>
      </c>
      <c r="K525">
        <f>获奖信息!K523</f>
        <v>0</v>
      </c>
      <c r="L525">
        <f>获奖信息!L523</f>
        <v>0</v>
      </c>
      <c r="M525">
        <f>获奖信息!M523</f>
        <v>0</v>
      </c>
      <c r="N525">
        <f>获奖信息!N523</f>
        <v>0</v>
      </c>
      <c r="O525">
        <f>获奖信息!O523</f>
        <v>0</v>
      </c>
    </row>
    <row r="526" spans="1:15" x14ac:dyDescent="0.2">
      <c r="A526">
        <f>获奖信息!A524</f>
        <v>0</v>
      </c>
      <c r="B526">
        <f>获奖信息!B524</f>
        <v>0</v>
      </c>
      <c r="C526">
        <f>获奖信息!C524</f>
        <v>0</v>
      </c>
      <c r="D526">
        <f>获奖信息!D524</f>
        <v>0</v>
      </c>
      <c r="E526">
        <f>获奖信息!E524</f>
        <v>0</v>
      </c>
      <c r="F526">
        <f>获奖信息!F524</f>
        <v>0</v>
      </c>
      <c r="G526">
        <f>获奖信息!G524</f>
        <v>0</v>
      </c>
      <c r="H526">
        <f>获奖信息!H524</f>
        <v>0</v>
      </c>
      <c r="I526">
        <f>获奖信息!I524</f>
        <v>0</v>
      </c>
      <c r="J526">
        <f>获奖信息!J524</f>
        <v>0</v>
      </c>
      <c r="K526">
        <f>获奖信息!K524</f>
        <v>0</v>
      </c>
      <c r="L526">
        <f>获奖信息!L524</f>
        <v>0</v>
      </c>
      <c r="M526">
        <f>获奖信息!M524</f>
        <v>0</v>
      </c>
      <c r="N526">
        <f>获奖信息!N524</f>
        <v>0</v>
      </c>
      <c r="O526">
        <f>获奖信息!O524</f>
        <v>0</v>
      </c>
    </row>
    <row r="527" spans="1:15" x14ac:dyDescent="0.2">
      <c r="A527">
        <f>获奖信息!A525</f>
        <v>0</v>
      </c>
      <c r="B527">
        <f>获奖信息!B525</f>
        <v>0</v>
      </c>
      <c r="C527">
        <f>获奖信息!C525</f>
        <v>0</v>
      </c>
      <c r="D527">
        <f>获奖信息!D525</f>
        <v>0</v>
      </c>
      <c r="E527">
        <f>获奖信息!E525</f>
        <v>0</v>
      </c>
      <c r="F527">
        <f>获奖信息!F525</f>
        <v>0</v>
      </c>
      <c r="G527">
        <f>获奖信息!G525</f>
        <v>0</v>
      </c>
      <c r="H527">
        <f>获奖信息!H525</f>
        <v>0</v>
      </c>
      <c r="I527">
        <f>获奖信息!I525</f>
        <v>0</v>
      </c>
      <c r="J527">
        <f>获奖信息!J525</f>
        <v>0</v>
      </c>
      <c r="K527">
        <f>获奖信息!K525</f>
        <v>0</v>
      </c>
      <c r="L527">
        <f>获奖信息!L525</f>
        <v>0</v>
      </c>
      <c r="M527">
        <f>获奖信息!M525</f>
        <v>0</v>
      </c>
      <c r="N527">
        <f>获奖信息!N525</f>
        <v>0</v>
      </c>
      <c r="O527">
        <f>获奖信息!O525</f>
        <v>0</v>
      </c>
    </row>
    <row r="528" spans="1:15" x14ac:dyDescent="0.2">
      <c r="A528">
        <f>获奖信息!A526</f>
        <v>0</v>
      </c>
      <c r="B528">
        <f>获奖信息!B526</f>
        <v>0</v>
      </c>
      <c r="C528">
        <f>获奖信息!C526</f>
        <v>0</v>
      </c>
      <c r="D528">
        <f>获奖信息!D526</f>
        <v>0</v>
      </c>
      <c r="E528">
        <f>获奖信息!E526</f>
        <v>0</v>
      </c>
      <c r="F528">
        <f>获奖信息!F526</f>
        <v>0</v>
      </c>
      <c r="G528">
        <f>获奖信息!G526</f>
        <v>0</v>
      </c>
      <c r="H528">
        <f>获奖信息!H526</f>
        <v>0</v>
      </c>
      <c r="I528">
        <f>获奖信息!I526</f>
        <v>0</v>
      </c>
      <c r="J528">
        <f>获奖信息!J526</f>
        <v>0</v>
      </c>
      <c r="K528">
        <f>获奖信息!K526</f>
        <v>0</v>
      </c>
      <c r="L528">
        <f>获奖信息!L526</f>
        <v>0</v>
      </c>
      <c r="M528">
        <f>获奖信息!M526</f>
        <v>0</v>
      </c>
      <c r="N528">
        <f>获奖信息!N526</f>
        <v>0</v>
      </c>
      <c r="O528">
        <f>获奖信息!O526</f>
        <v>0</v>
      </c>
    </row>
    <row r="529" spans="1:15" x14ac:dyDescent="0.2">
      <c r="A529">
        <f>获奖信息!A527</f>
        <v>0</v>
      </c>
      <c r="B529">
        <f>获奖信息!B527</f>
        <v>0</v>
      </c>
      <c r="C529">
        <f>获奖信息!C527</f>
        <v>0</v>
      </c>
      <c r="D529">
        <f>获奖信息!D527</f>
        <v>0</v>
      </c>
      <c r="E529">
        <f>获奖信息!E527</f>
        <v>0</v>
      </c>
      <c r="F529">
        <f>获奖信息!F527</f>
        <v>0</v>
      </c>
      <c r="G529">
        <f>获奖信息!G527</f>
        <v>0</v>
      </c>
      <c r="H529">
        <f>获奖信息!H527</f>
        <v>0</v>
      </c>
      <c r="I529">
        <f>获奖信息!I527</f>
        <v>0</v>
      </c>
      <c r="J529">
        <f>获奖信息!J527</f>
        <v>0</v>
      </c>
      <c r="K529">
        <f>获奖信息!K527</f>
        <v>0</v>
      </c>
      <c r="L529">
        <f>获奖信息!L527</f>
        <v>0</v>
      </c>
      <c r="M529">
        <f>获奖信息!M527</f>
        <v>0</v>
      </c>
      <c r="N529">
        <f>获奖信息!N527</f>
        <v>0</v>
      </c>
      <c r="O529">
        <f>获奖信息!O527</f>
        <v>0</v>
      </c>
    </row>
    <row r="530" spans="1:15" x14ac:dyDescent="0.2">
      <c r="A530">
        <f>获奖信息!A528</f>
        <v>0</v>
      </c>
      <c r="B530">
        <f>获奖信息!B528</f>
        <v>0</v>
      </c>
      <c r="C530">
        <f>获奖信息!C528</f>
        <v>0</v>
      </c>
      <c r="D530">
        <f>获奖信息!D528</f>
        <v>0</v>
      </c>
      <c r="E530">
        <f>获奖信息!E528</f>
        <v>0</v>
      </c>
      <c r="F530">
        <f>获奖信息!F528</f>
        <v>0</v>
      </c>
      <c r="G530">
        <f>获奖信息!G528</f>
        <v>0</v>
      </c>
      <c r="H530">
        <f>获奖信息!H528</f>
        <v>0</v>
      </c>
      <c r="I530">
        <f>获奖信息!I528</f>
        <v>0</v>
      </c>
      <c r="J530">
        <f>获奖信息!J528</f>
        <v>0</v>
      </c>
      <c r="K530">
        <f>获奖信息!K528</f>
        <v>0</v>
      </c>
      <c r="L530">
        <f>获奖信息!L528</f>
        <v>0</v>
      </c>
      <c r="M530">
        <f>获奖信息!M528</f>
        <v>0</v>
      </c>
      <c r="N530">
        <f>获奖信息!N528</f>
        <v>0</v>
      </c>
      <c r="O530">
        <f>获奖信息!O528</f>
        <v>0</v>
      </c>
    </row>
    <row r="531" spans="1:15" x14ac:dyDescent="0.2">
      <c r="A531">
        <f>获奖信息!A529</f>
        <v>0</v>
      </c>
      <c r="B531">
        <f>获奖信息!B529</f>
        <v>0</v>
      </c>
      <c r="C531">
        <f>获奖信息!C529</f>
        <v>0</v>
      </c>
      <c r="D531">
        <f>获奖信息!D529</f>
        <v>0</v>
      </c>
      <c r="E531">
        <f>获奖信息!E529</f>
        <v>0</v>
      </c>
      <c r="F531">
        <f>获奖信息!F529</f>
        <v>0</v>
      </c>
      <c r="G531">
        <f>获奖信息!G529</f>
        <v>0</v>
      </c>
      <c r="H531">
        <f>获奖信息!H529</f>
        <v>0</v>
      </c>
      <c r="I531">
        <f>获奖信息!I529</f>
        <v>0</v>
      </c>
      <c r="J531">
        <f>获奖信息!J529</f>
        <v>0</v>
      </c>
      <c r="K531">
        <f>获奖信息!K529</f>
        <v>0</v>
      </c>
      <c r="L531">
        <f>获奖信息!L529</f>
        <v>0</v>
      </c>
      <c r="M531">
        <f>获奖信息!M529</f>
        <v>0</v>
      </c>
      <c r="N531">
        <f>获奖信息!N529</f>
        <v>0</v>
      </c>
      <c r="O531">
        <f>获奖信息!O529</f>
        <v>0</v>
      </c>
    </row>
    <row r="532" spans="1:15" x14ac:dyDescent="0.2">
      <c r="A532">
        <f>获奖信息!A530</f>
        <v>0</v>
      </c>
      <c r="B532">
        <f>获奖信息!B530</f>
        <v>0</v>
      </c>
      <c r="C532">
        <f>获奖信息!C530</f>
        <v>0</v>
      </c>
      <c r="D532">
        <f>获奖信息!D530</f>
        <v>0</v>
      </c>
      <c r="E532">
        <f>获奖信息!E530</f>
        <v>0</v>
      </c>
      <c r="F532">
        <f>获奖信息!F530</f>
        <v>0</v>
      </c>
      <c r="G532">
        <f>获奖信息!G530</f>
        <v>0</v>
      </c>
      <c r="H532">
        <f>获奖信息!H530</f>
        <v>0</v>
      </c>
      <c r="I532">
        <f>获奖信息!I530</f>
        <v>0</v>
      </c>
      <c r="J532">
        <f>获奖信息!J530</f>
        <v>0</v>
      </c>
      <c r="K532">
        <f>获奖信息!K530</f>
        <v>0</v>
      </c>
      <c r="L532">
        <f>获奖信息!L530</f>
        <v>0</v>
      </c>
      <c r="M532">
        <f>获奖信息!M530</f>
        <v>0</v>
      </c>
      <c r="N532">
        <f>获奖信息!N530</f>
        <v>0</v>
      </c>
      <c r="O532">
        <f>获奖信息!O530</f>
        <v>0</v>
      </c>
    </row>
    <row r="533" spans="1:15" x14ac:dyDescent="0.2">
      <c r="A533">
        <f>获奖信息!A531</f>
        <v>0</v>
      </c>
      <c r="B533">
        <f>获奖信息!B531</f>
        <v>0</v>
      </c>
      <c r="C533">
        <f>获奖信息!C531</f>
        <v>0</v>
      </c>
      <c r="D533">
        <f>获奖信息!D531</f>
        <v>0</v>
      </c>
      <c r="E533">
        <f>获奖信息!E531</f>
        <v>0</v>
      </c>
      <c r="F533">
        <f>获奖信息!F531</f>
        <v>0</v>
      </c>
      <c r="G533">
        <f>获奖信息!G531</f>
        <v>0</v>
      </c>
      <c r="H533">
        <f>获奖信息!H531</f>
        <v>0</v>
      </c>
      <c r="I533">
        <f>获奖信息!I531</f>
        <v>0</v>
      </c>
      <c r="J533">
        <f>获奖信息!J531</f>
        <v>0</v>
      </c>
      <c r="K533">
        <f>获奖信息!K531</f>
        <v>0</v>
      </c>
      <c r="L533">
        <f>获奖信息!L531</f>
        <v>0</v>
      </c>
      <c r="M533">
        <f>获奖信息!M531</f>
        <v>0</v>
      </c>
      <c r="N533">
        <f>获奖信息!N531</f>
        <v>0</v>
      </c>
      <c r="O533">
        <f>获奖信息!O531</f>
        <v>0</v>
      </c>
    </row>
    <row r="534" spans="1:15" x14ac:dyDescent="0.2">
      <c r="A534">
        <f>获奖信息!A532</f>
        <v>0</v>
      </c>
      <c r="B534">
        <f>获奖信息!B532</f>
        <v>0</v>
      </c>
      <c r="C534">
        <f>获奖信息!C532</f>
        <v>0</v>
      </c>
      <c r="D534">
        <f>获奖信息!D532</f>
        <v>0</v>
      </c>
      <c r="E534">
        <f>获奖信息!E532</f>
        <v>0</v>
      </c>
      <c r="F534">
        <f>获奖信息!F532</f>
        <v>0</v>
      </c>
      <c r="G534">
        <f>获奖信息!G532</f>
        <v>0</v>
      </c>
      <c r="H534">
        <f>获奖信息!H532</f>
        <v>0</v>
      </c>
      <c r="I534">
        <f>获奖信息!I532</f>
        <v>0</v>
      </c>
      <c r="J534">
        <f>获奖信息!J532</f>
        <v>0</v>
      </c>
      <c r="K534">
        <f>获奖信息!K532</f>
        <v>0</v>
      </c>
      <c r="L534">
        <f>获奖信息!L532</f>
        <v>0</v>
      </c>
      <c r="M534">
        <f>获奖信息!M532</f>
        <v>0</v>
      </c>
      <c r="N534">
        <f>获奖信息!N532</f>
        <v>0</v>
      </c>
      <c r="O534">
        <f>获奖信息!O532</f>
        <v>0</v>
      </c>
    </row>
    <row r="535" spans="1:15" x14ac:dyDescent="0.2">
      <c r="A535">
        <f>获奖信息!A533</f>
        <v>0</v>
      </c>
      <c r="B535">
        <f>获奖信息!B533</f>
        <v>0</v>
      </c>
      <c r="C535">
        <f>获奖信息!C533</f>
        <v>0</v>
      </c>
      <c r="D535">
        <f>获奖信息!D533</f>
        <v>0</v>
      </c>
      <c r="E535">
        <f>获奖信息!E533</f>
        <v>0</v>
      </c>
      <c r="F535">
        <f>获奖信息!F533</f>
        <v>0</v>
      </c>
      <c r="G535">
        <f>获奖信息!G533</f>
        <v>0</v>
      </c>
      <c r="H535">
        <f>获奖信息!H533</f>
        <v>0</v>
      </c>
      <c r="I535">
        <f>获奖信息!I533</f>
        <v>0</v>
      </c>
      <c r="J535">
        <f>获奖信息!J533</f>
        <v>0</v>
      </c>
      <c r="K535">
        <f>获奖信息!K533</f>
        <v>0</v>
      </c>
      <c r="L535">
        <f>获奖信息!L533</f>
        <v>0</v>
      </c>
      <c r="M535">
        <f>获奖信息!M533</f>
        <v>0</v>
      </c>
      <c r="N535">
        <f>获奖信息!N533</f>
        <v>0</v>
      </c>
      <c r="O535">
        <f>获奖信息!O533</f>
        <v>0</v>
      </c>
    </row>
    <row r="536" spans="1:15" x14ac:dyDescent="0.2">
      <c r="A536">
        <f>获奖信息!A534</f>
        <v>0</v>
      </c>
      <c r="B536">
        <f>获奖信息!B534</f>
        <v>0</v>
      </c>
      <c r="C536">
        <f>获奖信息!C534</f>
        <v>0</v>
      </c>
      <c r="D536">
        <f>获奖信息!D534</f>
        <v>0</v>
      </c>
      <c r="E536">
        <f>获奖信息!E534</f>
        <v>0</v>
      </c>
      <c r="F536">
        <f>获奖信息!F534</f>
        <v>0</v>
      </c>
      <c r="G536">
        <f>获奖信息!G534</f>
        <v>0</v>
      </c>
      <c r="H536">
        <f>获奖信息!H534</f>
        <v>0</v>
      </c>
      <c r="I536">
        <f>获奖信息!I534</f>
        <v>0</v>
      </c>
      <c r="J536">
        <f>获奖信息!J534</f>
        <v>0</v>
      </c>
      <c r="K536">
        <f>获奖信息!K534</f>
        <v>0</v>
      </c>
      <c r="L536">
        <f>获奖信息!L534</f>
        <v>0</v>
      </c>
      <c r="M536">
        <f>获奖信息!M534</f>
        <v>0</v>
      </c>
      <c r="N536">
        <f>获奖信息!N534</f>
        <v>0</v>
      </c>
      <c r="O536">
        <f>获奖信息!O534</f>
        <v>0</v>
      </c>
    </row>
    <row r="537" spans="1:15" x14ac:dyDescent="0.2">
      <c r="A537">
        <f>获奖信息!A535</f>
        <v>0</v>
      </c>
      <c r="B537">
        <f>获奖信息!B535</f>
        <v>0</v>
      </c>
      <c r="C537">
        <f>获奖信息!C535</f>
        <v>0</v>
      </c>
      <c r="D537">
        <f>获奖信息!D535</f>
        <v>0</v>
      </c>
      <c r="E537">
        <f>获奖信息!E535</f>
        <v>0</v>
      </c>
      <c r="F537">
        <f>获奖信息!F535</f>
        <v>0</v>
      </c>
      <c r="G537">
        <f>获奖信息!G535</f>
        <v>0</v>
      </c>
      <c r="H537">
        <f>获奖信息!H535</f>
        <v>0</v>
      </c>
      <c r="I537">
        <f>获奖信息!I535</f>
        <v>0</v>
      </c>
      <c r="J537">
        <f>获奖信息!J535</f>
        <v>0</v>
      </c>
      <c r="K537">
        <f>获奖信息!K535</f>
        <v>0</v>
      </c>
      <c r="L537">
        <f>获奖信息!L535</f>
        <v>0</v>
      </c>
      <c r="M537">
        <f>获奖信息!M535</f>
        <v>0</v>
      </c>
      <c r="N537">
        <f>获奖信息!N535</f>
        <v>0</v>
      </c>
      <c r="O537">
        <f>获奖信息!O535</f>
        <v>0</v>
      </c>
    </row>
    <row r="538" spans="1:15" x14ac:dyDescent="0.2">
      <c r="A538">
        <f>获奖信息!A536</f>
        <v>0</v>
      </c>
      <c r="B538">
        <f>获奖信息!B536</f>
        <v>0</v>
      </c>
      <c r="C538">
        <f>获奖信息!C536</f>
        <v>0</v>
      </c>
      <c r="D538">
        <f>获奖信息!D536</f>
        <v>0</v>
      </c>
      <c r="E538">
        <f>获奖信息!E536</f>
        <v>0</v>
      </c>
      <c r="F538">
        <f>获奖信息!F536</f>
        <v>0</v>
      </c>
      <c r="G538">
        <f>获奖信息!G536</f>
        <v>0</v>
      </c>
      <c r="H538">
        <f>获奖信息!H536</f>
        <v>0</v>
      </c>
      <c r="I538">
        <f>获奖信息!I536</f>
        <v>0</v>
      </c>
      <c r="J538">
        <f>获奖信息!J536</f>
        <v>0</v>
      </c>
      <c r="K538">
        <f>获奖信息!K536</f>
        <v>0</v>
      </c>
      <c r="L538">
        <f>获奖信息!L536</f>
        <v>0</v>
      </c>
      <c r="M538">
        <f>获奖信息!M536</f>
        <v>0</v>
      </c>
      <c r="N538">
        <f>获奖信息!N536</f>
        <v>0</v>
      </c>
      <c r="O538">
        <f>获奖信息!O536</f>
        <v>0</v>
      </c>
    </row>
    <row r="539" spans="1:15" x14ac:dyDescent="0.2">
      <c r="A539">
        <f>获奖信息!A537</f>
        <v>0</v>
      </c>
      <c r="B539">
        <f>获奖信息!B537</f>
        <v>0</v>
      </c>
      <c r="C539">
        <f>获奖信息!C537</f>
        <v>0</v>
      </c>
      <c r="D539">
        <f>获奖信息!D537</f>
        <v>0</v>
      </c>
      <c r="E539">
        <f>获奖信息!E537</f>
        <v>0</v>
      </c>
      <c r="F539">
        <f>获奖信息!F537</f>
        <v>0</v>
      </c>
      <c r="G539">
        <f>获奖信息!G537</f>
        <v>0</v>
      </c>
      <c r="H539">
        <f>获奖信息!H537</f>
        <v>0</v>
      </c>
      <c r="I539">
        <f>获奖信息!I537</f>
        <v>0</v>
      </c>
      <c r="J539">
        <f>获奖信息!J537</f>
        <v>0</v>
      </c>
      <c r="K539">
        <f>获奖信息!K537</f>
        <v>0</v>
      </c>
      <c r="L539">
        <f>获奖信息!L537</f>
        <v>0</v>
      </c>
      <c r="M539">
        <f>获奖信息!M537</f>
        <v>0</v>
      </c>
      <c r="N539">
        <f>获奖信息!N537</f>
        <v>0</v>
      </c>
      <c r="O539">
        <f>获奖信息!O537</f>
        <v>0</v>
      </c>
    </row>
    <row r="540" spans="1:15" x14ac:dyDescent="0.2">
      <c r="A540">
        <f>获奖信息!A538</f>
        <v>0</v>
      </c>
      <c r="B540">
        <f>获奖信息!B538</f>
        <v>0</v>
      </c>
      <c r="C540">
        <f>获奖信息!C538</f>
        <v>0</v>
      </c>
      <c r="D540">
        <f>获奖信息!D538</f>
        <v>0</v>
      </c>
      <c r="E540">
        <f>获奖信息!E538</f>
        <v>0</v>
      </c>
      <c r="F540">
        <f>获奖信息!F538</f>
        <v>0</v>
      </c>
      <c r="G540">
        <f>获奖信息!G538</f>
        <v>0</v>
      </c>
      <c r="H540">
        <f>获奖信息!H538</f>
        <v>0</v>
      </c>
      <c r="I540">
        <f>获奖信息!I538</f>
        <v>0</v>
      </c>
      <c r="J540">
        <f>获奖信息!J538</f>
        <v>0</v>
      </c>
      <c r="K540">
        <f>获奖信息!K538</f>
        <v>0</v>
      </c>
      <c r="L540">
        <f>获奖信息!L538</f>
        <v>0</v>
      </c>
      <c r="M540">
        <f>获奖信息!M538</f>
        <v>0</v>
      </c>
      <c r="N540">
        <f>获奖信息!N538</f>
        <v>0</v>
      </c>
      <c r="O540">
        <f>获奖信息!O538</f>
        <v>0</v>
      </c>
    </row>
    <row r="541" spans="1:15" x14ac:dyDescent="0.2">
      <c r="A541">
        <f>获奖信息!A539</f>
        <v>0</v>
      </c>
      <c r="B541">
        <f>获奖信息!B539</f>
        <v>0</v>
      </c>
      <c r="C541">
        <f>获奖信息!C539</f>
        <v>0</v>
      </c>
      <c r="D541">
        <f>获奖信息!D539</f>
        <v>0</v>
      </c>
      <c r="E541">
        <f>获奖信息!E539</f>
        <v>0</v>
      </c>
      <c r="F541">
        <f>获奖信息!F539</f>
        <v>0</v>
      </c>
      <c r="G541">
        <f>获奖信息!G539</f>
        <v>0</v>
      </c>
      <c r="H541">
        <f>获奖信息!H539</f>
        <v>0</v>
      </c>
      <c r="I541">
        <f>获奖信息!I539</f>
        <v>0</v>
      </c>
      <c r="J541">
        <f>获奖信息!J539</f>
        <v>0</v>
      </c>
      <c r="K541">
        <f>获奖信息!K539</f>
        <v>0</v>
      </c>
      <c r="L541">
        <f>获奖信息!L539</f>
        <v>0</v>
      </c>
      <c r="M541">
        <f>获奖信息!M539</f>
        <v>0</v>
      </c>
      <c r="N541">
        <f>获奖信息!N539</f>
        <v>0</v>
      </c>
      <c r="O541">
        <f>获奖信息!O539</f>
        <v>0</v>
      </c>
    </row>
    <row r="542" spans="1:15" x14ac:dyDescent="0.2">
      <c r="A542">
        <f>获奖信息!A540</f>
        <v>0</v>
      </c>
      <c r="B542">
        <f>获奖信息!B540</f>
        <v>0</v>
      </c>
      <c r="C542">
        <f>获奖信息!C540</f>
        <v>0</v>
      </c>
      <c r="D542">
        <f>获奖信息!D540</f>
        <v>0</v>
      </c>
      <c r="E542">
        <f>获奖信息!E540</f>
        <v>0</v>
      </c>
      <c r="F542">
        <f>获奖信息!F540</f>
        <v>0</v>
      </c>
      <c r="G542">
        <f>获奖信息!G540</f>
        <v>0</v>
      </c>
      <c r="H542">
        <f>获奖信息!H540</f>
        <v>0</v>
      </c>
      <c r="I542">
        <f>获奖信息!I540</f>
        <v>0</v>
      </c>
      <c r="J542">
        <f>获奖信息!J540</f>
        <v>0</v>
      </c>
      <c r="K542">
        <f>获奖信息!K540</f>
        <v>0</v>
      </c>
      <c r="L542">
        <f>获奖信息!L540</f>
        <v>0</v>
      </c>
      <c r="M542">
        <f>获奖信息!M540</f>
        <v>0</v>
      </c>
      <c r="N542">
        <f>获奖信息!N540</f>
        <v>0</v>
      </c>
      <c r="O542">
        <f>获奖信息!O540</f>
        <v>0</v>
      </c>
    </row>
    <row r="543" spans="1:15" x14ac:dyDescent="0.2">
      <c r="A543">
        <f>获奖信息!A541</f>
        <v>0</v>
      </c>
      <c r="B543">
        <f>获奖信息!B541</f>
        <v>0</v>
      </c>
      <c r="C543">
        <f>获奖信息!C541</f>
        <v>0</v>
      </c>
      <c r="D543">
        <f>获奖信息!D541</f>
        <v>0</v>
      </c>
      <c r="E543">
        <f>获奖信息!E541</f>
        <v>0</v>
      </c>
      <c r="F543">
        <f>获奖信息!F541</f>
        <v>0</v>
      </c>
      <c r="G543">
        <f>获奖信息!G541</f>
        <v>0</v>
      </c>
      <c r="H543">
        <f>获奖信息!H541</f>
        <v>0</v>
      </c>
      <c r="I543">
        <f>获奖信息!I541</f>
        <v>0</v>
      </c>
      <c r="J543">
        <f>获奖信息!J541</f>
        <v>0</v>
      </c>
      <c r="K543">
        <f>获奖信息!K541</f>
        <v>0</v>
      </c>
      <c r="L543">
        <f>获奖信息!L541</f>
        <v>0</v>
      </c>
      <c r="M543">
        <f>获奖信息!M541</f>
        <v>0</v>
      </c>
      <c r="N543">
        <f>获奖信息!N541</f>
        <v>0</v>
      </c>
      <c r="O543">
        <f>获奖信息!O541</f>
        <v>0</v>
      </c>
    </row>
    <row r="544" spans="1:15" x14ac:dyDescent="0.2">
      <c r="A544">
        <f>获奖信息!A542</f>
        <v>0</v>
      </c>
      <c r="B544">
        <f>获奖信息!B542</f>
        <v>0</v>
      </c>
      <c r="C544">
        <f>获奖信息!C542</f>
        <v>0</v>
      </c>
      <c r="D544">
        <f>获奖信息!D542</f>
        <v>0</v>
      </c>
      <c r="E544">
        <f>获奖信息!E542</f>
        <v>0</v>
      </c>
      <c r="F544">
        <f>获奖信息!F542</f>
        <v>0</v>
      </c>
      <c r="G544">
        <f>获奖信息!G542</f>
        <v>0</v>
      </c>
      <c r="H544">
        <f>获奖信息!H542</f>
        <v>0</v>
      </c>
      <c r="I544">
        <f>获奖信息!I542</f>
        <v>0</v>
      </c>
      <c r="J544">
        <f>获奖信息!J542</f>
        <v>0</v>
      </c>
      <c r="K544">
        <f>获奖信息!K542</f>
        <v>0</v>
      </c>
      <c r="L544">
        <f>获奖信息!L542</f>
        <v>0</v>
      </c>
      <c r="M544">
        <f>获奖信息!M542</f>
        <v>0</v>
      </c>
      <c r="N544">
        <f>获奖信息!N542</f>
        <v>0</v>
      </c>
      <c r="O544">
        <f>获奖信息!O542</f>
        <v>0</v>
      </c>
    </row>
    <row r="545" spans="1:15" x14ac:dyDescent="0.2">
      <c r="A545">
        <f>获奖信息!A543</f>
        <v>0</v>
      </c>
      <c r="B545">
        <f>获奖信息!B543</f>
        <v>0</v>
      </c>
      <c r="C545">
        <f>获奖信息!C543</f>
        <v>0</v>
      </c>
      <c r="D545">
        <f>获奖信息!D543</f>
        <v>0</v>
      </c>
      <c r="E545">
        <f>获奖信息!E543</f>
        <v>0</v>
      </c>
      <c r="F545">
        <f>获奖信息!F543</f>
        <v>0</v>
      </c>
      <c r="G545">
        <f>获奖信息!G543</f>
        <v>0</v>
      </c>
      <c r="H545">
        <f>获奖信息!H543</f>
        <v>0</v>
      </c>
      <c r="I545">
        <f>获奖信息!I543</f>
        <v>0</v>
      </c>
      <c r="J545">
        <f>获奖信息!J543</f>
        <v>0</v>
      </c>
      <c r="K545">
        <f>获奖信息!K543</f>
        <v>0</v>
      </c>
      <c r="L545">
        <f>获奖信息!L543</f>
        <v>0</v>
      </c>
      <c r="M545">
        <f>获奖信息!M543</f>
        <v>0</v>
      </c>
      <c r="N545">
        <f>获奖信息!N543</f>
        <v>0</v>
      </c>
      <c r="O545">
        <f>获奖信息!O543</f>
        <v>0</v>
      </c>
    </row>
    <row r="546" spans="1:15" x14ac:dyDescent="0.2">
      <c r="A546">
        <f>获奖信息!A544</f>
        <v>0</v>
      </c>
      <c r="B546">
        <f>获奖信息!B544</f>
        <v>0</v>
      </c>
      <c r="C546">
        <f>获奖信息!C544</f>
        <v>0</v>
      </c>
      <c r="D546">
        <f>获奖信息!D544</f>
        <v>0</v>
      </c>
      <c r="E546">
        <f>获奖信息!E544</f>
        <v>0</v>
      </c>
      <c r="F546">
        <f>获奖信息!F544</f>
        <v>0</v>
      </c>
      <c r="G546">
        <f>获奖信息!G544</f>
        <v>0</v>
      </c>
      <c r="H546">
        <f>获奖信息!H544</f>
        <v>0</v>
      </c>
      <c r="I546">
        <f>获奖信息!I544</f>
        <v>0</v>
      </c>
      <c r="J546">
        <f>获奖信息!J544</f>
        <v>0</v>
      </c>
      <c r="K546">
        <f>获奖信息!K544</f>
        <v>0</v>
      </c>
      <c r="L546">
        <f>获奖信息!L544</f>
        <v>0</v>
      </c>
      <c r="M546">
        <f>获奖信息!M544</f>
        <v>0</v>
      </c>
      <c r="N546">
        <f>获奖信息!N544</f>
        <v>0</v>
      </c>
      <c r="O546">
        <f>获奖信息!O544</f>
        <v>0</v>
      </c>
    </row>
    <row r="547" spans="1:15" x14ac:dyDescent="0.2">
      <c r="A547">
        <f>获奖信息!A545</f>
        <v>0</v>
      </c>
      <c r="B547">
        <f>获奖信息!B545</f>
        <v>0</v>
      </c>
      <c r="C547">
        <f>获奖信息!C545</f>
        <v>0</v>
      </c>
      <c r="D547">
        <f>获奖信息!D545</f>
        <v>0</v>
      </c>
      <c r="E547">
        <f>获奖信息!E545</f>
        <v>0</v>
      </c>
      <c r="F547">
        <f>获奖信息!F545</f>
        <v>0</v>
      </c>
      <c r="G547">
        <f>获奖信息!G545</f>
        <v>0</v>
      </c>
      <c r="H547">
        <f>获奖信息!H545</f>
        <v>0</v>
      </c>
      <c r="I547">
        <f>获奖信息!I545</f>
        <v>0</v>
      </c>
      <c r="J547">
        <f>获奖信息!J545</f>
        <v>0</v>
      </c>
      <c r="K547">
        <f>获奖信息!K545</f>
        <v>0</v>
      </c>
      <c r="L547">
        <f>获奖信息!L545</f>
        <v>0</v>
      </c>
      <c r="M547">
        <f>获奖信息!M545</f>
        <v>0</v>
      </c>
      <c r="N547">
        <f>获奖信息!N545</f>
        <v>0</v>
      </c>
      <c r="O547">
        <f>获奖信息!O545</f>
        <v>0</v>
      </c>
    </row>
    <row r="548" spans="1:15" x14ac:dyDescent="0.2">
      <c r="A548">
        <f>获奖信息!A546</f>
        <v>0</v>
      </c>
      <c r="B548">
        <f>获奖信息!B546</f>
        <v>0</v>
      </c>
      <c r="C548">
        <f>获奖信息!C546</f>
        <v>0</v>
      </c>
      <c r="D548">
        <f>获奖信息!D546</f>
        <v>0</v>
      </c>
      <c r="E548">
        <f>获奖信息!E546</f>
        <v>0</v>
      </c>
      <c r="F548">
        <f>获奖信息!F546</f>
        <v>0</v>
      </c>
      <c r="G548">
        <f>获奖信息!G546</f>
        <v>0</v>
      </c>
      <c r="H548">
        <f>获奖信息!H546</f>
        <v>0</v>
      </c>
      <c r="I548">
        <f>获奖信息!I546</f>
        <v>0</v>
      </c>
      <c r="J548">
        <f>获奖信息!J546</f>
        <v>0</v>
      </c>
      <c r="K548">
        <f>获奖信息!K546</f>
        <v>0</v>
      </c>
      <c r="L548">
        <f>获奖信息!L546</f>
        <v>0</v>
      </c>
      <c r="M548">
        <f>获奖信息!M546</f>
        <v>0</v>
      </c>
      <c r="N548">
        <f>获奖信息!N546</f>
        <v>0</v>
      </c>
      <c r="O548">
        <f>获奖信息!O546</f>
        <v>0</v>
      </c>
    </row>
    <row r="549" spans="1:15" x14ac:dyDescent="0.2">
      <c r="A549">
        <f>获奖信息!A547</f>
        <v>0</v>
      </c>
      <c r="B549">
        <f>获奖信息!B547</f>
        <v>0</v>
      </c>
      <c r="C549">
        <f>获奖信息!C547</f>
        <v>0</v>
      </c>
      <c r="D549">
        <f>获奖信息!D547</f>
        <v>0</v>
      </c>
      <c r="E549">
        <f>获奖信息!E547</f>
        <v>0</v>
      </c>
      <c r="F549">
        <f>获奖信息!F547</f>
        <v>0</v>
      </c>
      <c r="G549">
        <f>获奖信息!G547</f>
        <v>0</v>
      </c>
      <c r="H549">
        <f>获奖信息!H547</f>
        <v>0</v>
      </c>
      <c r="I549">
        <f>获奖信息!I547</f>
        <v>0</v>
      </c>
      <c r="J549">
        <f>获奖信息!J547</f>
        <v>0</v>
      </c>
      <c r="K549">
        <f>获奖信息!K547</f>
        <v>0</v>
      </c>
      <c r="L549">
        <f>获奖信息!L547</f>
        <v>0</v>
      </c>
      <c r="M549">
        <f>获奖信息!M547</f>
        <v>0</v>
      </c>
      <c r="N549">
        <f>获奖信息!N547</f>
        <v>0</v>
      </c>
      <c r="O549">
        <f>获奖信息!O547</f>
        <v>0</v>
      </c>
    </row>
    <row r="550" spans="1:15" x14ac:dyDescent="0.2">
      <c r="A550">
        <f>获奖信息!A548</f>
        <v>0</v>
      </c>
      <c r="B550">
        <f>获奖信息!B548</f>
        <v>0</v>
      </c>
      <c r="C550">
        <f>获奖信息!C548</f>
        <v>0</v>
      </c>
      <c r="D550">
        <f>获奖信息!D548</f>
        <v>0</v>
      </c>
      <c r="E550">
        <f>获奖信息!E548</f>
        <v>0</v>
      </c>
      <c r="F550">
        <f>获奖信息!F548</f>
        <v>0</v>
      </c>
      <c r="G550">
        <f>获奖信息!G548</f>
        <v>0</v>
      </c>
      <c r="H550">
        <f>获奖信息!H548</f>
        <v>0</v>
      </c>
      <c r="I550">
        <f>获奖信息!I548</f>
        <v>0</v>
      </c>
      <c r="J550">
        <f>获奖信息!J548</f>
        <v>0</v>
      </c>
      <c r="K550">
        <f>获奖信息!K548</f>
        <v>0</v>
      </c>
      <c r="L550">
        <f>获奖信息!L548</f>
        <v>0</v>
      </c>
      <c r="M550">
        <f>获奖信息!M548</f>
        <v>0</v>
      </c>
      <c r="N550">
        <f>获奖信息!N548</f>
        <v>0</v>
      </c>
      <c r="O550">
        <f>获奖信息!O548</f>
        <v>0</v>
      </c>
    </row>
    <row r="551" spans="1:15" x14ac:dyDescent="0.2">
      <c r="A551">
        <f>获奖信息!A549</f>
        <v>0</v>
      </c>
      <c r="B551">
        <f>获奖信息!B549</f>
        <v>0</v>
      </c>
      <c r="C551">
        <f>获奖信息!C549</f>
        <v>0</v>
      </c>
      <c r="D551">
        <f>获奖信息!D549</f>
        <v>0</v>
      </c>
      <c r="E551">
        <f>获奖信息!E549</f>
        <v>0</v>
      </c>
      <c r="F551">
        <f>获奖信息!F549</f>
        <v>0</v>
      </c>
      <c r="G551">
        <f>获奖信息!G549</f>
        <v>0</v>
      </c>
      <c r="H551">
        <f>获奖信息!H549</f>
        <v>0</v>
      </c>
      <c r="I551">
        <f>获奖信息!I549</f>
        <v>0</v>
      </c>
      <c r="J551">
        <f>获奖信息!J549</f>
        <v>0</v>
      </c>
      <c r="K551">
        <f>获奖信息!K549</f>
        <v>0</v>
      </c>
      <c r="L551">
        <f>获奖信息!L549</f>
        <v>0</v>
      </c>
      <c r="M551">
        <f>获奖信息!M549</f>
        <v>0</v>
      </c>
      <c r="N551">
        <f>获奖信息!N549</f>
        <v>0</v>
      </c>
      <c r="O551">
        <f>获奖信息!O549</f>
        <v>0</v>
      </c>
    </row>
    <row r="552" spans="1:15" x14ac:dyDescent="0.2">
      <c r="A552">
        <f>获奖信息!A550</f>
        <v>0</v>
      </c>
      <c r="B552">
        <f>获奖信息!B550</f>
        <v>0</v>
      </c>
      <c r="C552">
        <f>获奖信息!C550</f>
        <v>0</v>
      </c>
      <c r="D552">
        <f>获奖信息!D550</f>
        <v>0</v>
      </c>
      <c r="E552">
        <f>获奖信息!E550</f>
        <v>0</v>
      </c>
      <c r="F552">
        <f>获奖信息!F550</f>
        <v>0</v>
      </c>
      <c r="G552">
        <f>获奖信息!G550</f>
        <v>0</v>
      </c>
      <c r="H552">
        <f>获奖信息!H550</f>
        <v>0</v>
      </c>
      <c r="I552">
        <f>获奖信息!I550</f>
        <v>0</v>
      </c>
      <c r="J552">
        <f>获奖信息!J550</f>
        <v>0</v>
      </c>
      <c r="K552">
        <f>获奖信息!K550</f>
        <v>0</v>
      </c>
      <c r="L552">
        <f>获奖信息!L550</f>
        <v>0</v>
      </c>
      <c r="M552">
        <f>获奖信息!M550</f>
        <v>0</v>
      </c>
      <c r="N552">
        <f>获奖信息!N550</f>
        <v>0</v>
      </c>
      <c r="O552">
        <f>获奖信息!O550</f>
        <v>0</v>
      </c>
    </row>
    <row r="553" spans="1:15" x14ac:dyDescent="0.2">
      <c r="A553">
        <f>获奖信息!A551</f>
        <v>0</v>
      </c>
      <c r="B553">
        <f>获奖信息!B551</f>
        <v>0</v>
      </c>
      <c r="C553">
        <f>获奖信息!C551</f>
        <v>0</v>
      </c>
      <c r="D553">
        <f>获奖信息!D551</f>
        <v>0</v>
      </c>
      <c r="E553">
        <f>获奖信息!E551</f>
        <v>0</v>
      </c>
      <c r="F553">
        <f>获奖信息!F551</f>
        <v>0</v>
      </c>
      <c r="G553">
        <f>获奖信息!G551</f>
        <v>0</v>
      </c>
      <c r="H553">
        <f>获奖信息!H551</f>
        <v>0</v>
      </c>
      <c r="I553">
        <f>获奖信息!I551</f>
        <v>0</v>
      </c>
      <c r="J553">
        <f>获奖信息!J551</f>
        <v>0</v>
      </c>
      <c r="K553">
        <f>获奖信息!K551</f>
        <v>0</v>
      </c>
      <c r="L553">
        <f>获奖信息!L551</f>
        <v>0</v>
      </c>
      <c r="M553">
        <f>获奖信息!M551</f>
        <v>0</v>
      </c>
      <c r="N553">
        <f>获奖信息!N551</f>
        <v>0</v>
      </c>
      <c r="O553">
        <f>获奖信息!O551</f>
        <v>0</v>
      </c>
    </row>
    <row r="554" spans="1:15" x14ac:dyDescent="0.2">
      <c r="A554">
        <f>获奖信息!A552</f>
        <v>0</v>
      </c>
      <c r="B554">
        <f>获奖信息!B552</f>
        <v>0</v>
      </c>
      <c r="C554">
        <f>获奖信息!C552</f>
        <v>0</v>
      </c>
      <c r="D554">
        <f>获奖信息!D552</f>
        <v>0</v>
      </c>
      <c r="E554">
        <f>获奖信息!E552</f>
        <v>0</v>
      </c>
      <c r="F554">
        <f>获奖信息!F552</f>
        <v>0</v>
      </c>
      <c r="G554">
        <f>获奖信息!G552</f>
        <v>0</v>
      </c>
      <c r="H554">
        <f>获奖信息!H552</f>
        <v>0</v>
      </c>
      <c r="I554">
        <f>获奖信息!I552</f>
        <v>0</v>
      </c>
      <c r="J554">
        <f>获奖信息!J552</f>
        <v>0</v>
      </c>
      <c r="K554">
        <f>获奖信息!K552</f>
        <v>0</v>
      </c>
      <c r="L554">
        <f>获奖信息!L552</f>
        <v>0</v>
      </c>
      <c r="M554">
        <f>获奖信息!M552</f>
        <v>0</v>
      </c>
      <c r="N554">
        <f>获奖信息!N552</f>
        <v>0</v>
      </c>
      <c r="O554">
        <f>获奖信息!O552</f>
        <v>0</v>
      </c>
    </row>
    <row r="555" spans="1:15" x14ac:dyDescent="0.2">
      <c r="A555">
        <f>获奖信息!A553</f>
        <v>0</v>
      </c>
      <c r="B555">
        <f>获奖信息!B553</f>
        <v>0</v>
      </c>
      <c r="C555">
        <f>获奖信息!C553</f>
        <v>0</v>
      </c>
      <c r="D555">
        <f>获奖信息!D553</f>
        <v>0</v>
      </c>
      <c r="E555">
        <f>获奖信息!E553</f>
        <v>0</v>
      </c>
      <c r="F555">
        <f>获奖信息!F553</f>
        <v>0</v>
      </c>
      <c r="G555">
        <f>获奖信息!G553</f>
        <v>0</v>
      </c>
      <c r="H555">
        <f>获奖信息!H553</f>
        <v>0</v>
      </c>
      <c r="I555">
        <f>获奖信息!I553</f>
        <v>0</v>
      </c>
      <c r="J555">
        <f>获奖信息!J553</f>
        <v>0</v>
      </c>
      <c r="K555">
        <f>获奖信息!K553</f>
        <v>0</v>
      </c>
      <c r="L555">
        <f>获奖信息!L553</f>
        <v>0</v>
      </c>
      <c r="M555">
        <f>获奖信息!M553</f>
        <v>0</v>
      </c>
      <c r="N555">
        <f>获奖信息!N553</f>
        <v>0</v>
      </c>
      <c r="O555">
        <f>获奖信息!O553</f>
        <v>0</v>
      </c>
    </row>
    <row r="556" spans="1:15" x14ac:dyDescent="0.2">
      <c r="A556">
        <f>获奖信息!A554</f>
        <v>0</v>
      </c>
      <c r="B556">
        <f>获奖信息!B554</f>
        <v>0</v>
      </c>
      <c r="C556">
        <f>获奖信息!C554</f>
        <v>0</v>
      </c>
      <c r="D556">
        <f>获奖信息!D554</f>
        <v>0</v>
      </c>
      <c r="E556">
        <f>获奖信息!E554</f>
        <v>0</v>
      </c>
      <c r="F556">
        <f>获奖信息!F554</f>
        <v>0</v>
      </c>
      <c r="G556">
        <f>获奖信息!G554</f>
        <v>0</v>
      </c>
      <c r="H556">
        <f>获奖信息!H554</f>
        <v>0</v>
      </c>
      <c r="I556">
        <f>获奖信息!I554</f>
        <v>0</v>
      </c>
      <c r="J556">
        <f>获奖信息!J554</f>
        <v>0</v>
      </c>
      <c r="K556">
        <f>获奖信息!K554</f>
        <v>0</v>
      </c>
      <c r="L556">
        <f>获奖信息!L554</f>
        <v>0</v>
      </c>
      <c r="M556">
        <f>获奖信息!M554</f>
        <v>0</v>
      </c>
      <c r="N556">
        <f>获奖信息!N554</f>
        <v>0</v>
      </c>
      <c r="O556">
        <f>获奖信息!O554</f>
        <v>0</v>
      </c>
    </row>
    <row r="557" spans="1:15" x14ac:dyDescent="0.2">
      <c r="A557">
        <f>获奖信息!A555</f>
        <v>0</v>
      </c>
      <c r="B557">
        <f>获奖信息!B555</f>
        <v>0</v>
      </c>
      <c r="C557">
        <f>获奖信息!C555</f>
        <v>0</v>
      </c>
      <c r="D557">
        <f>获奖信息!D555</f>
        <v>0</v>
      </c>
      <c r="E557">
        <f>获奖信息!E555</f>
        <v>0</v>
      </c>
      <c r="F557">
        <f>获奖信息!F555</f>
        <v>0</v>
      </c>
      <c r="G557">
        <f>获奖信息!G555</f>
        <v>0</v>
      </c>
      <c r="H557">
        <f>获奖信息!H555</f>
        <v>0</v>
      </c>
      <c r="I557">
        <f>获奖信息!I555</f>
        <v>0</v>
      </c>
      <c r="J557">
        <f>获奖信息!J555</f>
        <v>0</v>
      </c>
      <c r="K557">
        <f>获奖信息!K555</f>
        <v>0</v>
      </c>
      <c r="L557">
        <f>获奖信息!L555</f>
        <v>0</v>
      </c>
      <c r="M557">
        <f>获奖信息!M555</f>
        <v>0</v>
      </c>
      <c r="N557">
        <f>获奖信息!N555</f>
        <v>0</v>
      </c>
      <c r="O557">
        <f>获奖信息!O555</f>
        <v>0</v>
      </c>
    </row>
    <row r="558" spans="1:15" x14ac:dyDescent="0.2">
      <c r="A558">
        <f>获奖信息!A556</f>
        <v>0</v>
      </c>
      <c r="B558">
        <f>获奖信息!B556</f>
        <v>0</v>
      </c>
      <c r="C558">
        <f>获奖信息!C556</f>
        <v>0</v>
      </c>
      <c r="D558">
        <f>获奖信息!D556</f>
        <v>0</v>
      </c>
      <c r="E558">
        <f>获奖信息!E556</f>
        <v>0</v>
      </c>
      <c r="F558">
        <f>获奖信息!F556</f>
        <v>0</v>
      </c>
      <c r="G558">
        <f>获奖信息!G556</f>
        <v>0</v>
      </c>
      <c r="H558">
        <f>获奖信息!H556</f>
        <v>0</v>
      </c>
      <c r="I558">
        <f>获奖信息!I556</f>
        <v>0</v>
      </c>
      <c r="J558">
        <f>获奖信息!J556</f>
        <v>0</v>
      </c>
      <c r="K558">
        <f>获奖信息!K556</f>
        <v>0</v>
      </c>
      <c r="L558">
        <f>获奖信息!L556</f>
        <v>0</v>
      </c>
      <c r="M558">
        <f>获奖信息!M556</f>
        <v>0</v>
      </c>
      <c r="N558">
        <f>获奖信息!N556</f>
        <v>0</v>
      </c>
      <c r="O558">
        <f>获奖信息!O556</f>
        <v>0</v>
      </c>
    </row>
    <row r="559" spans="1:15" x14ac:dyDescent="0.2">
      <c r="A559">
        <f>获奖信息!A557</f>
        <v>0</v>
      </c>
      <c r="B559">
        <f>获奖信息!B557</f>
        <v>0</v>
      </c>
      <c r="C559">
        <f>获奖信息!C557</f>
        <v>0</v>
      </c>
      <c r="D559">
        <f>获奖信息!D557</f>
        <v>0</v>
      </c>
      <c r="E559">
        <f>获奖信息!E557</f>
        <v>0</v>
      </c>
      <c r="F559">
        <f>获奖信息!F557</f>
        <v>0</v>
      </c>
      <c r="G559">
        <f>获奖信息!G557</f>
        <v>0</v>
      </c>
      <c r="H559">
        <f>获奖信息!H557</f>
        <v>0</v>
      </c>
      <c r="I559">
        <f>获奖信息!I557</f>
        <v>0</v>
      </c>
      <c r="J559">
        <f>获奖信息!J557</f>
        <v>0</v>
      </c>
      <c r="K559">
        <f>获奖信息!K557</f>
        <v>0</v>
      </c>
      <c r="L559">
        <f>获奖信息!L557</f>
        <v>0</v>
      </c>
      <c r="M559">
        <f>获奖信息!M557</f>
        <v>0</v>
      </c>
      <c r="N559">
        <f>获奖信息!N557</f>
        <v>0</v>
      </c>
      <c r="O559">
        <f>获奖信息!O557</f>
        <v>0</v>
      </c>
    </row>
    <row r="560" spans="1:15" x14ac:dyDescent="0.2">
      <c r="A560">
        <f>获奖信息!A558</f>
        <v>0</v>
      </c>
      <c r="B560">
        <f>获奖信息!B558</f>
        <v>0</v>
      </c>
      <c r="C560">
        <f>获奖信息!C558</f>
        <v>0</v>
      </c>
      <c r="D560">
        <f>获奖信息!D558</f>
        <v>0</v>
      </c>
      <c r="E560">
        <f>获奖信息!E558</f>
        <v>0</v>
      </c>
      <c r="F560">
        <f>获奖信息!F558</f>
        <v>0</v>
      </c>
      <c r="G560">
        <f>获奖信息!G558</f>
        <v>0</v>
      </c>
      <c r="H560">
        <f>获奖信息!H558</f>
        <v>0</v>
      </c>
      <c r="I560">
        <f>获奖信息!I558</f>
        <v>0</v>
      </c>
      <c r="J560">
        <f>获奖信息!J558</f>
        <v>0</v>
      </c>
      <c r="K560">
        <f>获奖信息!K558</f>
        <v>0</v>
      </c>
      <c r="L560">
        <f>获奖信息!L558</f>
        <v>0</v>
      </c>
      <c r="M560">
        <f>获奖信息!M558</f>
        <v>0</v>
      </c>
      <c r="N560">
        <f>获奖信息!N558</f>
        <v>0</v>
      </c>
      <c r="O560">
        <f>获奖信息!O558</f>
        <v>0</v>
      </c>
    </row>
    <row r="561" spans="1:15" x14ac:dyDescent="0.2">
      <c r="A561">
        <f>获奖信息!A559</f>
        <v>0</v>
      </c>
      <c r="B561">
        <f>获奖信息!B559</f>
        <v>0</v>
      </c>
      <c r="C561">
        <f>获奖信息!C559</f>
        <v>0</v>
      </c>
      <c r="D561">
        <f>获奖信息!D559</f>
        <v>0</v>
      </c>
      <c r="E561">
        <f>获奖信息!E559</f>
        <v>0</v>
      </c>
      <c r="F561">
        <f>获奖信息!F559</f>
        <v>0</v>
      </c>
      <c r="G561">
        <f>获奖信息!G559</f>
        <v>0</v>
      </c>
      <c r="H561">
        <f>获奖信息!H559</f>
        <v>0</v>
      </c>
      <c r="I561">
        <f>获奖信息!I559</f>
        <v>0</v>
      </c>
      <c r="J561">
        <f>获奖信息!J559</f>
        <v>0</v>
      </c>
      <c r="K561">
        <f>获奖信息!K559</f>
        <v>0</v>
      </c>
      <c r="L561">
        <f>获奖信息!L559</f>
        <v>0</v>
      </c>
      <c r="M561">
        <f>获奖信息!M559</f>
        <v>0</v>
      </c>
      <c r="N561">
        <f>获奖信息!N559</f>
        <v>0</v>
      </c>
      <c r="O561">
        <f>获奖信息!O559</f>
        <v>0</v>
      </c>
    </row>
    <row r="562" spans="1:15" x14ac:dyDescent="0.2">
      <c r="A562">
        <f>获奖信息!A560</f>
        <v>0</v>
      </c>
      <c r="B562">
        <f>获奖信息!B560</f>
        <v>0</v>
      </c>
      <c r="C562">
        <f>获奖信息!C560</f>
        <v>0</v>
      </c>
      <c r="D562">
        <f>获奖信息!D560</f>
        <v>0</v>
      </c>
      <c r="E562">
        <f>获奖信息!E560</f>
        <v>0</v>
      </c>
      <c r="F562">
        <f>获奖信息!F560</f>
        <v>0</v>
      </c>
      <c r="G562">
        <f>获奖信息!G560</f>
        <v>0</v>
      </c>
      <c r="H562">
        <f>获奖信息!H560</f>
        <v>0</v>
      </c>
      <c r="I562">
        <f>获奖信息!I560</f>
        <v>0</v>
      </c>
      <c r="J562">
        <f>获奖信息!J560</f>
        <v>0</v>
      </c>
      <c r="K562">
        <f>获奖信息!K560</f>
        <v>0</v>
      </c>
      <c r="L562">
        <f>获奖信息!L560</f>
        <v>0</v>
      </c>
      <c r="M562">
        <f>获奖信息!M560</f>
        <v>0</v>
      </c>
      <c r="N562">
        <f>获奖信息!N560</f>
        <v>0</v>
      </c>
      <c r="O562">
        <f>获奖信息!O560</f>
        <v>0</v>
      </c>
    </row>
    <row r="563" spans="1:15" x14ac:dyDescent="0.2">
      <c r="A563">
        <f>获奖信息!A561</f>
        <v>0</v>
      </c>
      <c r="B563">
        <f>获奖信息!B561</f>
        <v>0</v>
      </c>
      <c r="C563">
        <f>获奖信息!C561</f>
        <v>0</v>
      </c>
      <c r="D563">
        <f>获奖信息!D561</f>
        <v>0</v>
      </c>
      <c r="E563">
        <f>获奖信息!E561</f>
        <v>0</v>
      </c>
      <c r="F563">
        <f>获奖信息!F561</f>
        <v>0</v>
      </c>
      <c r="G563">
        <f>获奖信息!G561</f>
        <v>0</v>
      </c>
      <c r="H563">
        <f>获奖信息!H561</f>
        <v>0</v>
      </c>
      <c r="I563">
        <f>获奖信息!I561</f>
        <v>0</v>
      </c>
      <c r="J563">
        <f>获奖信息!J561</f>
        <v>0</v>
      </c>
      <c r="K563">
        <f>获奖信息!K561</f>
        <v>0</v>
      </c>
      <c r="L563">
        <f>获奖信息!L561</f>
        <v>0</v>
      </c>
      <c r="M563">
        <f>获奖信息!M561</f>
        <v>0</v>
      </c>
      <c r="N563">
        <f>获奖信息!N561</f>
        <v>0</v>
      </c>
      <c r="O563">
        <f>获奖信息!O561</f>
        <v>0</v>
      </c>
    </row>
    <row r="564" spans="1:15" x14ac:dyDescent="0.2">
      <c r="A564">
        <f>获奖信息!A562</f>
        <v>0</v>
      </c>
      <c r="B564">
        <f>获奖信息!B562</f>
        <v>0</v>
      </c>
      <c r="C564">
        <f>获奖信息!C562</f>
        <v>0</v>
      </c>
      <c r="D564">
        <f>获奖信息!D562</f>
        <v>0</v>
      </c>
      <c r="E564">
        <f>获奖信息!E562</f>
        <v>0</v>
      </c>
      <c r="F564">
        <f>获奖信息!F562</f>
        <v>0</v>
      </c>
      <c r="G564">
        <f>获奖信息!G562</f>
        <v>0</v>
      </c>
      <c r="H564">
        <f>获奖信息!H562</f>
        <v>0</v>
      </c>
      <c r="I564">
        <f>获奖信息!I562</f>
        <v>0</v>
      </c>
      <c r="J564">
        <f>获奖信息!J562</f>
        <v>0</v>
      </c>
      <c r="K564">
        <f>获奖信息!K562</f>
        <v>0</v>
      </c>
      <c r="L564">
        <f>获奖信息!L562</f>
        <v>0</v>
      </c>
      <c r="M564">
        <f>获奖信息!M562</f>
        <v>0</v>
      </c>
      <c r="N564">
        <f>获奖信息!N562</f>
        <v>0</v>
      </c>
      <c r="O564">
        <f>获奖信息!O562</f>
        <v>0</v>
      </c>
    </row>
    <row r="565" spans="1:15" x14ac:dyDescent="0.2">
      <c r="A565">
        <f>获奖信息!A563</f>
        <v>0</v>
      </c>
      <c r="B565">
        <f>获奖信息!B563</f>
        <v>0</v>
      </c>
      <c r="C565">
        <f>获奖信息!C563</f>
        <v>0</v>
      </c>
      <c r="D565">
        <f>获奖信息!D563</f>
        <v>0</v>
      </c>
      <c r="E565">
        <f>获奖信息!E563</f>
        <v>0</v>
      </c>
      <c r="F565">
        <f>获奖信息!F563</f>
        <v>0</v>
      </c>
      <c r="G565">
        <f>获奖信息!G563</f>
        <v>0</v>
      </c>
      <c r="H565">
        <f>获奖信息!H563</f>
        <v>0</v>
      </c>
      <c r="I565">
        <f>获奖信息!I563</f>
        <v>0</v>
      </c>
      <c r="J565">
        <f>获奖信息!J563</f>
        <v>0</v>
      </c>
      <c r="K565">
        <f>获奖信息!K563</f>
        <v>0</v>
      </c>
      <c r="L565">
        <f>获奖信息!L563</f>
        <v>0</v>
      </c>
      <c r="M565">
        <f>获奖信息!M563</f>
        <v>0</v>
      </c>
      <c r="N565">
        <f>获奖信息!N563</f>
        <v>0</v>
      </c>
      <c r="O565">
        <f>获奖信息!O563</f>
        <v>0</v>
      </c>
    </row>
    <row r="566" spans="1:15" x14ac:dyDescent="0.2">
      <c r="A566">
        <f>获奖信息!A564</f>
        <v>0</v>
      </c>
      <c r="B566">
        <f>获奖信息!B564</f>
        <v>0</v>
      </c>
      <c r="C566">
        <f>获奖信息!C564</f>
        <v>0</v>
      </c>
      <c r="D566">
        <f>获奖信息!D564</f>
        <v>0</v>
      </c>
      <c r="E566">
        <f>获奖信息!E564</f>
        <v>0</v>
      </c>
      <c r="F566">
        <f>获奖信息!F564</f>
        <v>0</v>
      </c>
      <c r="G566">
        <f>获奖信息!G564</f>
        <v>0</v>
      </c>
      <c r="H566">
        <f>获奖信息!H564</f>
        <v>0</v>
      </c>
      <c r="I566">
        <f>获奖信息!I564</f>
        <v>0</v>
      </c>
      <c r="J566">
        <f>获奖信息!J564</f>
        <v>0</v>
      </c>
      <c r="K566">
        <f>获奖信息!K564</f>
        <v>0</v>
      </c>
      <c r="L566">
        <f>获奖信息!L564</f>
        <v>0</v>
      </c>
      <c r="M566">
        <f>获奖信息!M564</f>
        <v>0</v>
      </c>
      <c r="N566">
        <f>获奖信息!N564</f>
        <v>0</v>
      </c>
      <c r="O566">
        <f>获奖信息!O564</f>
        <v>0</v>
      </c>
    </row>
    <row r="567" spans="1:15" x14ac:dyDescent="0.2">
      <c r="A567">
        <f>获奖信息!A565</f>
        <v>0</v>
      </c>
      <c r="B567">
        <f>获奖信息!B565</f>
        <v>0</v>
      </c>
      <c r="C567">
        <f>获奖信息!C565</f>
        <v>0</v>
      </c>
      <c r="D567">
        <f>获奖信息!D565</f>
        <v>0</v>
      </c>
      <c r="E567">
        <f>获奖信息!E565</f>
        <v>0</v>
      </c>
      <c r="F567">
        <f>获奖信息!F565</f>
        <v>0</v>
      </c>
      <c r="G567">
        <f>获奖信息!G565</f>
        <v>0</v>
      </c>
      <c r="H567">
        <f>获奖信息!H565</f>
        <v>0</v>
      </c>
      <c r="I567">
        <f>获奖信息!I565</f>
        <v>0</v>
      </c>
      <c r="J567">
        <f>获奖信息!J565</f>
        <v>0</v>
      </c>
      <c r="K567">
        <f>获奖信息!K565</f>
        <v>0</v>
      </c>
      <c r="L567">
        <f>获奖信息!L565</f>
        <v>0</v>
      </c>
      <c r="M567">
        <f>获奖信息!M565</f>
        <v>0</v>
      </c>
      <c r="N567">
        <f>获奖信息!N565</f>
        <v>0</v>
      </c>
      <c r="O567">
        <f>获奖信息!O565</f>
        <v>0</v>
      </c>
    </row>
    <row r="568" spans="1:15" x14ac:dyDescent="0.2">
      <c r="A568">
        <f>获奖信息!A566</f>
        <v>0</v>
      </c>
      <c r="B568">
        <f>获奖信息!B566</f>
        <v>0</v>
      </c>
      <c r="C568">
        <f>获奖信息!C566</f>
        <v>0</v>
      </c>
      <c r="D568">
        <f>获奖信息!D566</f>
        <v>0</v>
      </c>
      <c r="E568">
        <f>获奖信息!E566</f>
        <v>0</v>
      </c>
      <c r="F568">
        <f>获奖信息!F566</f>
        <v>0</v>
      </c>
      <c r="G568">
        <f>获奖信息!G566</f>
        <v>0</v>
      </c>
      <c r="H568">
        <f>获奖信息!H566</f>
        <v>0</v>
      </c>
      <c r="I568">
        <f>获奖信息!I566</f>
        <v>0</v>
      </c>
      <c r="J568">
        <f>获奖信息!J566</f>
        <v>0</v>
      </c>
      <c r="K568">
        <f>获奖信息!K566</f>
        <v>0</v>
      </c>
      <c r="L568">
        <f>获奖信息!L566</f>
        <v>0</v>
      </c>
      <c r="M568">
        <f>获奖信息!M566</f>
        <v>0</v>
      </c>
      <c r="N568">
        <f>获奖信息!N566</f>
        <v>0</v>
      </c>
      <c r="O568">
        <f>获奖信息!O566</f>
        <v>0</v>
      </c>
    </row>
    <row r="569" spans="1:15" x14ac:dyDescent="0.2">
      <c r="A569">
        <f>获奖信息!A567</f>
        <v>0</v>
      </c>
      <c r="B569">
        <f>获奖信息!B567</f>
        <v>0</v>
      </c>
      <c r="C569">
        <f>获奖信息!C567</f>
        <v>0</v>
      </c>
      <c r="D569">
        <f>获奖信息!D567</f>
        <v>0</v>
      </c>
      <c r="E569">
        <f>获奖信息!E567</f>
        <v>0</v>
      </c>
      <c r="F569">
        <f>获奖信息!F567</f>
        <v>0</v>
      </c>
      <c r="G569">
        <f>获奖信息!G567</f>
        <v>0</v>
      </c>
      <c r="H569">
        <f>获奖信息!H567</f>
        <v>0</v>
      </c>
      <c r="I569">
        <f>获奖信息!I567</f>
        <v>0</v>
      </c>
      <c r="J569">
        <f>获奖信息!J567</f>
        <v>0</v>
      </c>
      <c r="K569">
        <f>获奖信息!K567</f>
        <v>0</v>
      </c>
      <c r="L569">
        <f>获奖信息!L567</f>
        <v>0</v>
      </c>
      <c r="M569">
        <f>获奖信息!M567</f>
        <v>0</v>
      </c>
      <c r="N569">
        <f>获奖信息!N567</f>
        <v>0</v>
      </c>
      <c r="O569">
        <f>获奖信息!O567</f>
        <v>0</v>
      </c>
    </row>
    <row r="570" spans="1:15" x14ac:dyDescent="0.2">
      <c r="A570">
        <f>获奖信息!A568</f>
        <v>0</v>
      </c>
      <c r="B570">
        <f>获奖信息!B568</f>
        <v>0</v>
      </c>
      <c r="C570">
        <f>获奖信息!C568</f>
        <v>0</v>
      </c>
      <c r="D570">
        <f>获奖信息!D568</f>
        <v>0</v>
      </c>
      <c r="E570">
        <f>获奖信息!E568</f>
        <v>0</v>
      </c>
      <c r="F570">
        <f>获奖信息!F568</f>
        <v>0</v>
      </c>
      <c r="G570">
        <f>获奖信息!G568</f>
        <v>0</v>
      </c>
      <c r="H570">
        <f>获奖信息!H568</f>
        <v>0</v>
      </c>
      <c r="I570">
        <f>获奖信息!I568</f>
        <v>0</v>
      </c>
      <c r="J570">
        <f>获奖信息!J568</f>
        <v>0</v>
      </c>
      <c r="K570">
        <f>获奖信息!K568</f>
        <v>0</v>
      </c>
      <c r="L570">
        <f>获奖信息!L568</f>
        <v>0</v>
      </c>
      <c r="M570">
        <f>获奖信息!M568</f>
        <v>0</v>
      </c>
      <c r="N570">
        <f>获奖信息!N568</f>
        <v>0</v>
      </c>
      <c r="O570">
        <f>获奖信息!O568</f>
        <v>0</v>
      </c>
    </row>
    <row r="571" spans="1:15" x14ac:dyDescent="0.2">
      <c r="A571">
        <f>获奖信息!A569</f>
        <v>0</v>
      </c>
      <c r="B571">
        <f>获奖信息!B569</f>
        <v>0</v>
      </c>
      <c r="C571">
        <f>获奖信息!C569</f>
        <v>0</v>
      </c>
      <c r="D571">
        <f>获奖信息!D569</f>
        <v>0</v>
      </c>
      <c r="E571">
        <f>获奖信息!E569</f>
        <v>0</v>
      </c>
      <c r="F571">
        <f>获奖信息!F569</f>
        <v>0</v>
      </c>
      <c r="G571">
        <f>获奖信息!G569</f>
        <v>0</v>
      </c>
      <c r="H571">
        <f>获奖信息!H569</f>
        <v>0</v>
      </c>
      <c r="I571">
        <f>获奖信息!I569</f>
        <v>0</v>
      </c>
      <c r="J571">
        <f>获奖信息!J569</f>
        <v>0</v>
      </c>
      <c r="K571">
        <f>获奖信息!K569</f>
        <v>0</v>
      </c>
      <c r="L571">
        <f>获奖信息!L569</f>
        <v>0</v>
      </c>
      <c r="M571">
        <f>获奖信息!M569</f>
        <v>0</v>
      </c>
      <c r="N571">
        <f>获奖信息!N569</f>
        <v>0</v>
      </c>
      <c r="O571">
        <f>获奖信息!O569</f>
        <v>0</v>
      </c>
    </row>
    <row r="572" spans="1:15" x14ac:dyDescent="0.2">
      <c r="A572">
        <f>获奖信息!A570</f>
        <v>0</v>
      </c>
      <c r="B572">
        <f>获奖信息!B570</f>
        <v>0</v>
      </c>
      <c r="C572">
        <f>获奖信息!C570</f>
        <v>0</v>
      </c>
      <c r="D572">
        <f>获奖信息!D570</f>
        <v>0</v>
      </c>
      <c r="E572">
        <f>获奖信息!E570</f>
        <v>0</v>
      </c>
      <c r="F572">
        <f>获奖信息!F570</f>
        <v>0</v>
      </c>
      <c r="G572">
        <f>获奖信息!G570</f>
        <v>0</v>
      </c>
      <c r="H572">
        <f>获奖信息!H570</f>
        <v>0</v>
      </c>
      <c r="I572">
        <f>获奖信息!I570</f>
        <v>0</v>
      </c>
      <c r="J572">
        <f>获奖信息!J570</f>
        <v>0</v>
      </c>
      <c r="K572">
        <f>获奖信息!K570</f>
        <v>0</v>
      </c>
      <c r="L572">
        <f>获奖信息!L570</f>
        <v>0</v>
      </c>
      <c r="M572">
        <f>获奖信息!M570</f>
        <v>0</v>
      </c>
      <c r="N572">
        <f>获奖信息!N570</f>
        <v>0</v>
      </c>
      <c r="O572">
        <f>获奖信息!O570</f>
        <v>0</v>
      </c>
    </row>
    <row r="573" spans="1:15" x14ac:dyDescent="0.2">
      <c r="A573">
        <f>获奖信息!A571</f>
        <v>0</v>
      </c>
      <c r="B573">
        <f>获奖信息!B571</f>
        <v>0</v>
      </c>
      <c r="C573">
        <f>获奖信息!C571</f>
        <v>0</v>
      </c>
      <c r="D573">
        <f>获奖信息!D571</f>
        <v>0</v>
      </c>
      <c r="E573">
        <f>获奖信息!E571</f>
        <v>0</v>
      </c>
      <c r="F573">
        <f>获奖信息!F571</f>
        <v>0</v>
      </c>
      <c r="G573">
        <f>获奖信息!G571</f>
        <v>0</v>
      </c>
      <c r="H573">
        <f>获奖信息!H571</f>
        <v>0</v>
      </c>
      <c r="I573">
        <f>获奖信息!I571</f>
        <v>0</v>
      </c>
      <c r="J573">
        <f>获奖信息!J571</f>
        <v>0</v>
      </c>
      <c r="K573">
        <f>获奖信息!K571</f>
        <v>0</v>
      </c>
      <c r="L573">
        <f>获奖信息!L571</f>
        <v>0</v>
      </c>
      <c r="M573">
        <f>获奖信息!M571</f>
        <v>0</v>
      </c>
      <c r="N573">
        <f>获奖信息!N571</f>
        <v>0</v>
      </c>
      <c r="O573">
        <f>获奖信息!O571</f>
        <v>0</v>
      </c>
    </row>
    <row r="574" spans="1:15" x14ac:dyDescent="0.2">
      <c r="A574">
        <f>获奖信息!A572</f>
        <v>0</v>
      </c>
      <c r="B574">
        <f>获奖信息!B572</f>
        <v>0</v>
      </c>
      <c r="C574">
        <f>获奖信息!C572</f>
        <v>0</v>
      </c>
      <c r="D574">
        <f>获奖信息!D572</f>
        <v>0</v>
      </c>
      <c r="E574">
        <f>获奖信息!E572</f>
        <v>0</v>
      </c>
      <c r="F574">
        <f>获奖信息!F572</f>
        <v>0</v>
      </c>
      <c r="G574">
        <f>获奖信息!G572</f>
        <v>0</v>
      </c>
      <c r="H574">
        <f>获奖信息!H572</f>
        <v>0</v>
      </c>
      <c r="I574">
        <f>获奖信息!I572</f>
        <v>0</v>
      </c>
      <c r="J574">
        <f>获奖信息!J572</f>
        <v>0</v>
      </c>
      <c r="K574">
        <f>获奖信息!K572</f>
        <v>0</v>
      </c>
      <c r="L574">
        <f>获奖信息!L572</f>
        <v>0</v>
      </c>
      <c r="M574">
        <f>获奖信息!M572</f>
        <v>0</v>
      </c>
      <c r="N574">
        <f>获奖信息!N572</f>
        <v>0</v>
      </c>
      <c r="O574">
        <f>获奖信息!O572</f>
        <v>0</v>
      </c>
    </row>
    <row r="575" spans="1:15" x14ac:dyDescent="0.2">
      <c r="A575">
        <f>获奖信息!A573</f>
        <v>0</v>
      </c>
      <c r="B575">
        <f>获奖信息!B573</f>
        <v>0</v>
      </c>
      <c r="C575">
        <f>获奖信息!C573</f>
        <v>0</v>
      </c>
      <c r="D575">
        <f>获奖信息!D573</f>
        <v>0</v>
      </c>
      <c r="E575">
        <f>获奖信息!E573</f>
        <v>0</v>
      </c>
      <c r="F575">
        <f>获奖信息!F573</f>
        <v>0</v>
      </c>
      <c r="G575">
        <f>获奖信息!G573</f>
        <v>0</v>
      </c>
      <c r="H575">
        <f>获奖信息!H573</f>
        <v>0</v>
      </c>
      <c r="I575">
        <f>获奖信息!I573</f>
        <v>0</v>
      </c>
      <c r="J575">
        <f>获奖信息!J573</f>
        <v>0</v>
      </c>
      <c r="K575">
        <f>获奖信息!K573</f>
        <v>0</v>
      </c>
      <c r="L575">
        <f>获奖信息!L573</f>
        <v>0</v>
      </c>
      <c r="M575">
        <f>获奖信息!M573</f>
        <v>0</v>
      </c>
      <c r="N575">
        <f>获奖信息!N573</f>
        <v>0</v>
      </c>
      <c r="O575">
        <f>获奖信息!O573</f>
        <v>0</v>
      </c>
    </row>
    <row r="576" spans="1:15" x14ac:dyDescent="0.2">
      <c r="A576">
        <f>获奖信息!A574</f>
        <v>0</v>
      </c>
      <c r="B576">
        <f>获奖信息!B574</f>
        <v>0</v>
      </c>
      <c r="C576">
        <f>获奖信息!C574</f>
        <v>0</v>
      </c>
      <c r="D576">
        <f>获奖信息!D574</f>
        <v>0</v>
      </c>
      <c r="E576">
        <f>获奖信息!E574</f>
        <v>0</v>
      </c>
      <c r="F576">
        <f>获奖信息!F574</f>
        <v>0</v>
      </c>
      <c r="G576">
        <f>获奖信息!G574</f>
        <v>0</v>
      </c>
      <c r="H576">
        <f>获奖信息!H574</f>
        <v>0</v>
      </c>
      <c r="I576">
        <f>获奖信息!I574</f>
        <v>0</v>
      </c>
      <c r="J576">
        <f>获奖信息!J574</f>
        <v>0</v>
      </c>
      <c r="K576">
        <f>获奖信息!K574</f>
        <v>0</v>
      </c>
      <c r="L576">
        <f>获奖信息!L574</f>
        <v>0</v>
      </c>
      <c r="M576">
        <f>获奖信息!M574</f>
        <v>0</v>
      </c>
      <c r="N576">
        <f>获奖信息!N574</f>
        <v>0</v>
      </c>
      <c r="O576">
        <f>获奖信息!O574</f>
        <v>0</v>
      </c>
    </row>
    <row r="577" spans="1:15" x14ac:dyDescent="0.2">
      <c r="A577">
        <f>获奖信息!A575</f>
        <v>0</v>
      </c>
      <c r="B577">
        <f>获奖信息!B575</f>
        <v>0</v>
      </c>
      <c r="C577">
        <f>获奖信息!C575</f>
        <v>0</v>
      </c>
      <c r="D577">
        <f>获奖信息!D575</f>
        <v>0</v>
      </c>
      <c r="E577">
        <f>获奖信息!E575</f>
        <v>0</v>
      </c>
      <c r="F577">
        <f>获奖信息!F575</f>
        <v>0</v>
      </c>
      <c r="G577">
        <f>获奖信息!G575</f>
        <v>0</v>
      </c>
      <c r="H577">
        <f>获奖信息!H575</f>
        <v>0</v>
      </c>
      <c r="I577">
        <f>获奖信息!I575</f>
        <v>0</v>
      </c>
      <c r="J577">
        <f>获奖信息!J575</f>
        <v>0</v>
      </c>
      <c r="K577">
        <f>获奖信息!K575</f>
        <v>0</v>
      </c>
      <c r="L577">
        <f>获奖信息!L575</f>
        <v>0</v>
      </c>
      <c r="M577">
        <f>获奖信息!M575</f>
        <v>0</v>
      </c>
      <c r="N577">
        <f>获奖信息!N575</f>
        <v>0</v>
      </c>
      <c r="O577">
        <f>获奖信息!O575</f>
        <v>0</v>
      </c>
    </row>
    <row r="578" spans="1:15" x14ac:dyDescent="0.2">
      <c r="A578">
        <f>获奖信息!A576</f>
        <v>0</v>
      </c>
      <c r="B578">
        <f>获奖信息!B576</f>
        <v>0</v>
      </c>
      <c r="C578">
        <f>获奖信息!C576</f>
        <v>0</v>
      </c>
      <c r="D578">
        <f>获奖信息!D576</f>
        <v>0</v>
      </c>
      <c r="E578">
        <f>获奖信息!E576</f>
        <v>0</v>
      </c>
      <c r="F578">
        <f>获奖信息!F576</f>
        <v>0</v>
      </c>
      <c r="G578">
        <f>获奖信息!G576</f>
        <v>0</v>
      </c>
      <c r="H578">
        <f>获奖信息!H576</f>
        <v>0</v>
      </c>
      <c r="I578">
        <f>获奖信息!I576</f>
        <v>0</v>
      </c>
      <c r="J578">
        <f>获奖信息!J576</f>
        <v>0</v>
      </c>
      <c r="K578">
        <f>获奖信息!K576</f>
        <v>0</v>
      </c>
      <c r="L578">
        <f>获奖信息!L576</f>
        <v>0</v>
      </c>
      <c r="M578">
        <f>获奖信息!M576</f>
        <v>0</v>
      </c>
      <c r="N578">
        <f>获奖信息!N576</f>
        <v>0</v>
      </c>
      <c r="O578">
        <f>获奖信息!O576</f>
        <v>0</v>
      </c>
    </row>
    <row r="579" spans="1:15" x14ac:dyDescent="0.2">
      <c r="A579">
        <f>获奖信息!A577</f>
        <v>0</v>
      </c>
      <c r="B579">
        <f>获奖信息!B577</f>
        <v>0</v>
      </c>
      <c r="C579">
        <f>获奖信息!C577</f>
        <v>0</v>
      </c>
      <c r="D579">
        <f>获奖信息!D577</f>
        <v>0</v>
      </c>
      <c r="E579">
        <f>获奖信息!E577</f>
        <v>0</v>
      </c>
      <c r="F579">
        <f>获奖信息!F577</f>
        <v>0</v>
      </c>
      <c r="G579">
        <f>获奖信息!G577</f>
        <v>0</v>
      </c>
      <c r="H579">
        <f>获奖信息!H577</f>
        <v>0</v>
      </c>
      <c r="I579">
        <f>获奖信息!I577</f>
        <v>0</v>
      </c>
      <c r="J579">
        <f>获奖信息!J577</f>
        <v>0</v>
      </c>
      <c r="K579">
        <f>获奖信息!K577</f>
        <v>0</v>
      </c>
      <c r="L579">
        <f>获奖信息!L577</f>
        <v>0</v>
      </c>
      <c r="M579">
        <f>获奖信息!M577</f>
        <v>0</v>
      </c>
      <c r="N579">
        <f>获奖信息!N577</f>
        <v>0</v>
      </c>
      <c r="O579">
        <f>获奖信息!O577</f>
        <v>0</v>
      </c>
    </row>
    <row r="580" spans="1:15" x14ac:dyDescent="0.2">
      <c r="A580">
        <f>获奖信息!A578</f>
        <v>0</v>
      </c>
      <c r="B580">
        <f>获奖信息!B578</f>
        <v>0</v>
      </c>
      <c r="C580">
        <f>获奖信息!C578</f>
        <v>0</v>
      </c>
      <c r="D580">
        <f>获奖信息!D578</f>
        <v>0</v>
      </c>
      <c r="E580">
        <f>获奖信息!E578</f>
        <v>0</v>
      </c>
      <c r="F580">
        <f>获奖信息!F578</f>
        <v>0</v>
      </c>
      <c r="G580">
        <f>获奖信息!G578</f>
        <v>0</v>
      </c>
      <c r="H580">
        <f>获奖信息!H578</f>
        <v>0</v>
      </c>
      <c r="I580">
        <f>获奖信息!I578</f>
        <v>0</v>
      </c>
      <c r="J580">
        <f>获奖信息!J578</f>
        <v>0</v>
      </c>
      <c r="K580">
        <f>获奖信息!K578</f>
        <v>0</v>
      </c>
      <c r="L580">
        <f>获奖信息!L578</f>
        <v>0</v>
      </c>
      <c r="M580">
        <f>获奖信息!M578</f>
        <v>0</v>
      </c>
      <c r="N580">
        <f>获奖信息!N578</f>
        <v>0</v>
      </c>
      <c r="O580">
        <f>获奖信息!O578</f>
        <v>0</v>
      </c>
    </row>
    <row r="581" spans="1:15" x14ac:dyDescent="0.2">
      <c r="A581">
        <f>获奖信息!A579</f>
        <v>0</v>
      </c>
      <c r="B581">
        <f>获奖信息!B579</f>
        <v>0</v>
      </c>
      <c r="C581">
        <f>获奖信息!C579</f>
        <v>0</v>
      </c>
      <c r="D581">
        <f>获奖信息!D579</f>
        <v>0</v>
      </c>
      <c r="E581">
        <f>获奖信息!E579</f>
        <v>0</v>
      </c>
      <c r="F581">
        <f>获奖信息!F579</f>
        <v>0</v>
      </c>
      <c r="G581">
        <f>获奖信息!G579</f>
        <v>0</v>
      </c>
      <c r="H581">
        <f>获奖信息!H579</f>
        <v>0</v>
      </c>
      <c r="I581">
        <f>获奖信息!I579</f>
        <v>0</v>
      </c>
      <c r="J581">
        <f>获奖信息!J579</f>
        <v>0</v>
      </c>
      <c r="K581">
        <f>获奖信息!K579</f>
        <v>0</v>
      </c>
      <c r="L581">
        <f>获奖信息!L579</f>
        <v>0</v>
      </c>
      <c r="M581">
        <f>获奖信息!M579</f>
        <v>0</v>
      </c>
      <c r="N581">
        <f>获奖信息!N579</f>
        <v>0</v>
      </c>
      <c r="O581">
        <f>获奖信息!O579</f>
        <v>0</v>
      </c>
    </row>
    <row r="582" spans="1:15" x14ac:dyDescent="0.2">
      <c r="A582">
        <f>获奖信息!A580</f>
        <v>0</v>
      </c>
      <c r="B582">
        <f>获奖信息!B580</f>
        <v>0</v>
      </c>
      <c r="C582">
        <f>获奖信息!C580</f>
        <v>0</v>
      </c>
      <c r="D582">
        <f>获奖信息!D580</f>
        <v>0</v>
      </c>
      <c r="E582">
        <f>获奖信息!E580</f>
        <v>0</v>
      </c>
      <c r="F582">
        <f>获奖信息!F580</f>
        <v>0</v>
      </c>
      <c r="G582">
        <f>获奖信息!G580</f>
        <v>0</v>
      </c>
      <c r="H582">
        <f>获奖信息!H580</f>
        <v>0</v>
      </c>
      <c r="I582">
        <f>获奖信息!I580</f>
        <v>0</v>
      </c>
      <c r="J582">
        <f>获奖信息!J580</f>
        <v>0</v>
      </c>
      <c r="K582">
        <f>获奖信息!K580</f>
        <v>0</v>
      </c>
      <c r="L582">
        <f>获奖信息!L580</f>
        <v>0</v>
      </c>
      <c r="M582">
        <f>获奖信息!M580</f>
        <v>0</v>
      </c>
      <c r="N582">
        <f>获奖信息!N580</f>
        <v>0</v>
      </c>
      <c r="O582">
        <f>获奖信息!O580</f>
        <v>0</v>
      </c>
    </row>
    <row r="583" spans="1:15" x14ac:dyDescent="0.2">
      <c r="A583">
        <f>获奖信息!A581</f>
        <v>0</v>
      </c>
      <c r="B583">
        <f>获奖信息!B581</f>
        <v>0</v>
      </c>
      <c r="C583">
        <f>获奖信息!C581</f>
        <v>0</v>
      </c>
      <c r="D583">
        <f>获奖信息!D581</f>
        <v>0</v>
      </c>
      <c r="E583">
        <f>获奖信息!E581</f>
        <v>0</v>
      </c>
      <c r="F583">
        <f>获奖信息!F581</f>
        <v>0</v>
      </c>
      <c r="G583">
        <f>获奖信息!G581</f>
        <v>0</v>
      </c>
      <c r="H583">
        <f>获奖信息!H581</f>
        <v>0</v>
      </c>
      <c r="I583">
        <f>获奖信息!I581</f>
        <v>0</v>
      </c>
      <c r="J583">
        <f>获奖信息!J581</f>
        <v>0</v>
      </c>
      <c r="K583">
        <f>获奖信息!K581</f>
        <v>0</v>
      </c>
      <c r="L583">
        <f>获奖信息!L581</f>
        <v>0</v>
      </c>
      <c r="M583">
        <f>获奖信息!M581</f>
        <v>0</v>
      </c>
      <c r="N583">
        <f>获奖信息!N581</f>
        <v>0</v>
      </c>
      <c r="O583">
        <f>获奖信息!O581</f>
        <v>0</v>
      </c>
    </row>
    <row r="584" spans="1:15" x14ac:dyDescent="0.2">
      <c r="A584">
        <f>获奖信息!A582</f>
        <v>0</v>
      </c>
      <c r="B584">
        <f>获奖信息!B582</f>
        <v>0</v>
      </c>
      <c r="C584">
        <f>获奖信息!C582</f>
        <v>0</v>
      </c>
      <c r="D584">
        <f>获奖信息!D582</f>
        <v>0</v>
      </c>
      <c r="E584">
        <f>获奖信息!E582</f>
        <v>0</v>
      </c>
      <c r="F584">
        <f>获奖信息!F582</f>
        <v>0</v>
      </c>
      <c r="G584">
        <f>获奖信息!G582</f>
        <v>0</v>
      </c>
      <c r="H584">
        <f>获奖信息!H582</f>
        <v>0</v>
      </c>
      <c r="I584">
        <f>获奖信息!I582</f>
        <v>0</v>
      </c>
      <c r="J584">
        <f>获奖信息!J582</f>
        <v>0</v>
      </c>
      <c r="K584">
        <f>获奖信息!K582</f>
        <v>0</v>
      </c>
      <c r="L584">
        <f>获奖信息!L582</f>
        <v>0</v>
      </c>
      <c r="M584">
        <f>获奖信息!M582</f>
        <v>0</v>
      </c>
      <c r="N584">
        <f>获奖信息!N582</f>
        <v>0</v>
      </c>
      <c r="O584">
        <f>获奖信息!O582</f>
        <v>0</v>
      </c>
    </row>
    <row r="585" spans="1:15" x14ac:dyDescent="0.2">
      <c r="A585">
        <f>获奖信息!A583</f>
        <v>0</v>
      </c>
      <c r="B585">
        <f>获奖信息!B583</f>
        <v>0</v>
      </c>
      <c r="C585">
        <f>获奖信息!C583</f>
        <v>0</v>
      </c>
      <c r="D585">
        <f>获奖信息!D583</f>
        <v>0</v>
      </c>
      <c r="E585">
        <f>获奖信息!E583</f>
        <v>0</v>
      </c>
      <c r="F585">
        <f>获奖信息!F583</f>
        <v>0</v>
      </c>
      <c r="G585">
        <f>获奖信息!G583</f>
        <v>0</v>
      </c>
      <c r="H585">
        <f>获奖信息!H583</f>
        <v>0</v>
      </c>
      <c r="I585">
        <f>获奖信息!I583</f>
        <v>0</v>
      </c>
      <c r="J585">
        <f>获奖信息!J583</f>
        <v>0</v>
      </c>
      <c r="K585">
        <f>获奖信息!K583</f>
        <v>0</v>
      </c>
      <c r="L585">
        <f>获奖信息!L583</f>
        <v>0</v>
      </c>
      <c r="M585">
        <f>获奖信息!M583</f>
        <v>0</v>
      </c>
      <c r="N585">
        <f>获奖信息!N583</f>
        <v>0</v>
      </c>
      <c r="O585">
        <f>获奖信息!O583</f>
        <v>0</v>
      </c>
    </row>
    <row r="586" spans="1:15" x14ac:dyDescent="0.2">
      <c r="A586">
        <f>获奖信息!A584</f>
        <v>0</v>
      </c>
      <c r="B586">
        <f>获奖信息!B584</f>
        <v>0</v>
      </c>
      <c r="C586">
        <f>获奖信息!C584</f>
        <v>0</v>
      </c>
      <c r="D586">
        <f>获奖信息!D584</f>
        <v>0</v>
      </c>
      <c r="E586">
        <f>获奖信息!E584</f>
        <v>0</v>
      </c>
      <c r="F586">
        <f>获奖信息!F584</f>
        <v>0</v>
      </c>
      <c r="G586">
        <f>获奖信息!G584</f>
        <v>0</v>
      </c>
      <c r="H586">
        <f>获奖信息!H584</f>
        <v>0</v>
      </c>
      <c r="I586">
        <f>获奖信息!I584</f>
        <v>0</v>
      </c>
      <c r="J586">
        <f>获奖信息!J584</f>
        <v>0</v>
      </c>
      <c r="K586">
        <f>获奖信息!K584</f>
        <v>0</v>
      </c>
      <c r="L586">
        <f>获奖信息!L584</f>
        <v>0</v>
      </c>
      <c r="M586">
        <f>获奖信息!M584</f>
        <v>0</v>
      </c>
      <c r="N586">
        <f>获奖信息!N584</f>
        <v>0</v>
      </c>
      <c r="O586">
        <f>获奖信息!O584</f>
        <v>0</v>
      </c>
    </row>
    <row r="587" spans="1:15" x14ac:dyDescent="0.2">
      <c r="A587">
        <f>获奖信息!A585</f>
        <v>0</v>
      </c>
      <c r="B587">
        <f>获奖信息!B585</f>
        <v>0</v>
      </c>
      <c r="C587">
        <f>获奖信息!C585</f>
        <v>0</v>
      </c>
      <c r="D587">
        <f>获奖信息!D585</f>
        <v>0</v>
      </c>
      <c r="E587">
        <f>获奖信息!E585</f>
        <v>0</v>
      </c>
      <c r="F587">
        <f>获奖信息!F585</f>
        <v>0</v>
      </c>
      <c r="G587">
        <f>获奖信息!G585</f>
        <v>0</v>
      </c>
      <c r="H587">
        <f>获奖信息!H585</f>
        <v>0</v>
      </c>
      <c r="I587">
        <f>获奖信息!I585</f>
        <v>0</v>
      </c>
      <c r="J587">
        <f>获奖信息!J585</f>
        <v>0</v>
      </c>
      <c r="K587">
        <f>获奖信息!K585</f>
        <v>0</v>
      </c>
      <c r="L587">
        <f>获奖信息!L585</f>
        <v>0</v>
      </c>
      <c r="M587">
        <f>获奖信息!M585</f>
        <v>0</v>
      </c>
      <c r="N587">
        <f>获奖信息!N585</f>
        <v>0</v>
      </c>
      <c r="O587">
        <f>获奖信息!O585</f>
        <v>0</v>
      </c>
    </row>
    <row r="588" spans="1:15" x14ac:dyDescent="0.2">
      <c r="A588">
        <f>获奖信息!A586</f>
        <v>0</v>
      </c>
      <c r="B588">
        <f>获奖信息!B586</f>
        <v>0</v>
      </c>
      <c r="C588">
        <f>获奖信息!C586</f>
        <v>0</v>
      </c>
      <c r="D588">
        <f>获奖信息!D586</f>
        <v>0</v>
      </c>
      <c r="E588">
        <f>获奖信息!E586</f>
        <v>0</v>
      </c>
      <c r="F588">
        <f>获奖信息!F586</f>
        <v>0</v>
      </c>
      <c r="G588">
        <f>获奖信息!G586</f>
        <v>0</v>
      </c>
      <c r="H588">
        <f>获奖信息!H586</f>
        <v>0</v>
      </c>
      <c r="I588">
        <f>获奖信息!I586</f>
        <v>0</v>
      </c>
      <c r="J588">
        <f>获奖信息!J586</f>
        <v>0</v>
      </c>
      <c r="K588">
        <f>获奖信息!K586</f>
        <v>0</v>
      </c>
      <c r="L588">
        <f>获奖信息!L586</f>
        <v>0</v>
      </c>
      <c r="M588">
        <f>获奖信息!M586</f>
        <v>0</v>
      </c>
      <c r="N588">
        <f>获奖信息!N586</f>
        <v>0</v>
      </c>
      <c r="O588">
        <f>获奖信息!O586</f>
        <v>0</v>
      </c>
    </row>
    <row r="589" spans="1:15" x14ac:dyDescent="0.2">
      <c r="A589">
        <f>获奖信息!A587</f>
        <v>0</v>
      </c>
      <c r="B589">
        <f>获奖信息!B587</f>
        <v>0</v>
      </c>
      <c r="C589">
        <f>获奖信息!C587</f>
        <v>0</v>
      </c>
      <c r="D589">
        <f>获奖信息!D587</f>
        <v>0</v>
      </c>
      <c r="E589">
        <f>获奖信息!E587</f>
        <v>0</v>
      </c>
      <c r="F589">
        <f>获奖信息!F587</f>
        <v>0</v>
      </c>
      <c r="G589">
        <f>获奖信息!G587</f>
        <v>0</v>
      </c>
      <c r="H589">
        <f>获奖信息!H587</f>
        <v>0</v>
      </c>
      <c r="I589">
        <f>获奖信息!I587</f>
        <v>0</v>
      </c>
      <c r="J589">
        <f>获奖信息!J587</f>
        <v>0</v>
      </c>
      <c r="K589">
        <f>获奖信息!K587</f>
        <v>0</v>
      </c>
      <c r="L589">
        <f>获奖信息!L587</f>
        <v>0</v>
      </c>
      <c r="M589">
        <f>获奖信息!M587</f>
        <v>0</v>
      </c>
      <c r="N589">
        <f>获奖信息!N587</f>
        <v>0</v>
      </c>
      <c r="O589">
        <f>获奖信息!O587</f>
        <v>0</v>
      </c>
    </row>
    <row r="590" spans="1:15" x14ac:dyDescent="0.2">
      <c r="A590">
        <f>获奖信息!A588</f>
        <v>0</v>
      </c>
      <c r="B590">
        <f>获奖信息!B588</f>
        <v>0</v>
      </c>
      <c r="C590">
        <f>获奖信息!C588</f>
        <v>0</v>
      </c>
      <c r="D590">
        <f>获奖信息!D588</f>
        <v>0</v>
      </c>
      <c r="E590">
        <f>获奖信息!E588</f>
        <v>0</v>
      </c>
      <c r="F590">
        <f>获奖信息!F588</f>
        <v>0</v>
      </c>
      <c r="G590">
        <f>获奖信息!G588</f>
        <v>0</v>
      </c>
      <c r="H590">
        <f>获奖信息!H588</f>
        <v>0</v>
      </c>
      <c r="I590">
        <f>获奖信息!I588</f>
        <v>0</v>
      </c>
      <c r="J590">
        <f>获奖信息!J588</f>
        <v>0</v>
      </c>
      <c r="K590">
        <f>获奖信息!K588</f>
        <v>0</v>
      </c>
      <c r="L590">
        <f>获奖信息!L588</f>
        <v>0</v>
      </c>
      <c r="M590">
        <f>获奖信息!M588</f>
        <v>0</v>
      </c>
      <c r="N590">
        <f>获奖信息!N588</f>
        <v>0</v>
      </c>
      <c r="O590">
        <f>获奖信息!O588</f>
        <v>0</v>
      </c>
    </row>
    <row r="591" spans="1:15" x14ac:dyDescent="0.2">
      <c r="A591">
        <f>获奖信息!A589</f>
        <v>0</v>
      </c>
      <c r="B591">
        <f>获奖信息!B589</f>
        <v>0</v>
      </c>
      <c r="C591">
        <f>获奖信息!C589</f>
        <v>0</v>
      </c>
      <c r="D591">
        <f>获奖信息!D589</f>
        <v>0</v>
      </c>
      <c r="E591">
        <f>获奖信息!E589</f>
        <v>0</v>
      </c>
      <c r="F591">
        <f>获奖信息!F589</f>
        <v>0</v>
      </c>
      <c r="G591">
        <f>获奖信息!G589</f>
        <v>0</v>
      </c>
      <c r="H591">
        <f>获奖信息!H589</f>
        <v>0</v>
      </c>
      <c r="I591">
        <f>获奖信息!I589</f>
        <v>0</v>
      </c>
      <c r="J591">
        <f>获奖信息!J589</f>
        <v>0</v>
      </c>
      <c r="K591">
        <f>获奖信息!K589</f>
        <v>0</v>
      </c>
      <c r="L591">
        <f>获奖信息!L589</f>
        <v>0</v>
      </c>
      <c r="M591">
        <f>获奖信息!M589</f>
        <v>0</v>
      </c>
      <c r="N591">
        <f>获奖信息!N589</f>
        <v>0</v>
      </c>
      <c r="O591">
        <f>获奖信息!O589</f>
        <v>0</v>
      </c>
    </row>
    <row r="592" spans="1:15" x14ac:dyDescent="0.2">
      <c r="A592">
        <f>获奖信息!A590</f>
        <v>0</v>
      </c>
      <c r="B592">
        <f>获奖信息!B590</f>
        <v>0</v>
      </c>
      <c r="C592">
        <f>获奖信息!C590</f>
        <v>0</v>
      </c>
      <c r="D592">
        <f>获奖信息!D590</f>
        <v>0</v>
      </c>
      <c r="E592">
        <f>获奖信息!E590</f>
        <v>0</v>
      </c>
      <c r="F592">
        <f>获奖信息!F590</f>
        <v>0</v>
      </c>
      <c r="G592">
        <f>获奖信息!G590</f>
        <v>0</v>
      </c>
      <c r="H592">
        <f>获奖信息!H590</f>
        <v>0</v>
      </c>
      <c r="I592">
        <f>获奖信息!I590</f>
        <v>0</v>
      </c>
      <c r="J592">
        <f>获奖信息!J590</f>
        <v>0</v>
      </c>
      <c r="K592">
        <f>获奖信息!K590</f>
        <v>0</v>
      </c>
      <c r="L592">
        <f>获奖信息!L590</f>
        <v>0</v>
      </c>
      <c r="M592">
        <f>获奖信息!M590</f>
        <v>0</v>
      </c>
      <c r="N592">
        <f>获奖信息!N590</f>
        <v>0</v>
      </c>
      <c r="O592">
        <f>获奖信息!O590</f>
        <v>0</v>
      </c>
    </row>
    <row r="593" spans="1:15" x14ac:dyDescent="0.2">
      <c r="A593">
        <f>获奖信息!A591</f>
        <v>0</v>
      </c>
      <c r="B593">
        <f>获奖信息!B591</f>
        <v>0</v>
      </c>
      <c r="C593">
        <f>获奖信息!C591</f>
        <v>0</v>
      </c>
      <c r="D593">
        <f>获奖信息!D591</f>
        <v>0</v>
      </c>
      <c r="E593">
        <f>获奖信息!E591</f>
        <v>0</v>
      </c>
      <c r="F593">
        <f>获奖信息!F591</f>
        <v>0</v>
      </c>
      <c r="G593">
        <f>获奖信息!G591</f>
        <v>0</v>
      </c>
      <c r="H593">
        <f>获奖信息!H591</f>
        <v>0</v>
      </c>
      <c r="I593">
        <f>获奖信息!I591</f>
        <v>0</v>
      </c>
      <c r="J593">
        <f>获奖信息!J591</f>
        <v>0</v>
      </c>
      <c r="K593">
        <f>获奖信息!K591</f>
        <v>0</v>
      </c>
      <c r="L593">
        <f>获奖信息!L591</f>
        <v>0</v>
      </c>
      <c r="M593">
        <f>获奖信息!M591</f>
        <v>0</v>
      </c>
      <c r="N593">
        <f>获奖信息!N591</f>
        <v>0</v>
      </c>
      <c r="O593">
        <f>获奖信息!O591</f>
        <v>0</v>
      </c>
    </row>
    <row r="594" spans="1:15" x14ac:dyDescent="0.2">
      <c r="A594">
        <f>获奖信息!A592</f>
        <v>0</v>
      </c>
      <c r="B594">
        <f>获奖信息!B592</f>
        <v>0</v>
      </c>
      <c r="C594">
        <f>获奖信息!C592</f>
        <v>0</v>
      </c>
      <c r="D594">
        <f>获奖信息!D592</f>
        <v>0</v>
      </c>
      <c r="E594">
        <f>获奖信息!E592</f>
        <v>0</v>
      </c>
      <c r="F594">
        <f>获奖信息!F592</f>
        <v>0</v>
      </c>
      <c r="G594">
        <f>获奖信息!G592</f>
        <v>0</v>
      </c>
      <c r="H594">
        <f>获奖信息!H592</f>
        <v>0</v>
      </c>
      <c r="I594">
        <f>获奖信息!I592</f>
        <v>0</v>
      </c>
      <c r="J594">
        <f>获奖信息!J592</f>
        <v>0</v>
      </c>
      <c r="K594">
        <f>获奖信息!K592</f>
        <v>0</v>
      </c>
      <c r="L594">
        <f>获奖信息!L592</f>
        <v>0</v>
      </c>
      <c r="M594">
        <f>获奖信息!M592</f>
        <v>0</v>
      </c>
      <c r="N594">
        <f>获奖信息!N592</f>
        <v>0</v>
      </c>
      <c r="O594">
        <f>获奖信息!O592</f>
        <v>0</v>
      </c>
    </row>
    <row r="595" spans="1:15" x14ac:dyDescent="0.2">
      <c r="A595">
        <f>获奖信息!A593</f>
        <v>0</v>
      </c>
      <c r="B595">
        <f>获奖信息!B593</f>
        <v>0</v>
      </c>
      <c r="C595">
        <f>获奖信息!C593</f>
        <v>0</v>
      </c>
      <c r="D595">
        <f>获奖信息!D593</f>
        <v>0</v>
      </c>
      <c r="E595">
        <f>获奖信息!E593</f>
        <v>0</v>
      </c>
      <c r="F595">
        <f>获奖信息!F593</f>
        <v>0</v>
      </c>
      <c r="G595">
        <f>获奖信息!G593</f>
        <v>0</v>
      </c>
      <c r="H595">
        <f>获奖信息!H593</f>
        <v>0</v>
      </c>
      <c r="I595">
        <f>获奖信息!I593</f>
        <v>0</v>
      </c>
      <c r="J595">
        <f>获奖信息!J593</f>
        <v>0</v>
      </c>
      <c r="K595">
        <f>获奖信息!K593</f>
        <v>0</v>
      </c>
      <c r="L595">
        <f>获奖信息!L593</f>
        <v>0</v>
      </c>
      <c r="M595">
        <f>获奖信息!M593</f>
        <v>0</v>
      </c>
      <c r="N595">
        <f>获奖信息!N593</f>
        <v>0</v>
      </c>
      <c r="O595">
        <f>获奖信息!O593</f>
        <v>0</v>
      </c>
    </row>
    <row r="596" spans="1:15" x14ac:dyDescent="0.2">
      <c r="A596">
        <f>获奖信息!A594</f>
        <v>0</v>
      </c>
      <c r="B596">
        <f>获奖信息!B594</f>
        <v>0</v>
      </c>
      <c r="C596">
        <f>获奖信息!C594</f>
        <v>0</v>
      </c>
      <c r="D596">
        <f>获奖信息!D594</f>
        <v>0</v>
      </c>
      <c r="E596">
        <f>获奖信息!E594</f>
        <v>0</v>
      </c>
      <c r="F596">
        <f>获奖信息!F594</f>
        <v>0</v>
      </c>
      <c r="G596">
        <f>获奖信息!G594</f>
        <v>0</v>
      </c>
      <c r="H596">
        <f>获奖信息!H594</f>
        <v>0</v>
      </c>
      <c r="I596">
        <f>获奖信息!I594</f>
        <v>0</v>
      </c>
      <c r="J596">
        <f>获奖信息!J594</f>
        <v>0</v>
      </c>
      <c r="K596">
        <f>获奖信息!K594</f>
        <v>0</v>
      </c>
      <c r="L596">
        <f>获奖信息!L594</f>
        <v>0</v>
      </c>
      <c r="M596">
        <f>获奖信息!M594</f>
        <v>0</v>
      </c>
      <c r="N596">
        <f>获奖信息!N594</f>
        <v>0</v>
      </c>
      <c r="O596">
        <f>获奖信息!O594</f>
        <v>0</v>
      </c>
    </row>
    <row r="597" spans="1:15" x14ac:dyDescent="0.2">
      <c r="A597">
        <f>获奖信息!A595</f>
        <v>0</v>
      </c>
      <c r="B597">
        <f>获奖信息!B595</f>
        <v>0</v>
      </c>
      <c r="C597">
        <f>获奖信息!C595</f>
        <v>0</v>
      </c>
      <c r="D597">
        <f>获奖信息!D595</f>
        <v>0</v>
      </c>
      <c r="E597">
        <f>获奖信息!E595</f>
        <v>0</v>
      </c>
      <c r="F597">
        <f>获奖信息!F595</f>
        <v>0</v>
      </c>
      <c r="G597">
        <f>获奖信息!G595</f>
        <v>0</v>
      </c>
      <c r="H597">
        <f>获奖信息!H595</f>
        <v>0</v>
      </c>
      <c r="I597">
        <f>获奖信息!I595</f>
        <v>0</v>
      </c>
      <c r="J597">
        <f>获奖信息!J595</f>
        <v>0</v>
      </c>
      <c r="K597">
        <f>获奖信息!K595</f>
        <v>0</v>
      </c>
      <c r="L597">
        <f>获奖信息!L595</f>
        <v>0</v>
      </c>
      <c r="M597">
        <f>获奖信息!M595</f>
        <v>0</v>
      </c>
      <c r="N597">
        <f>获奖信息!N595</f>
        <v>0</v>
      </c>
      <c r="O597">
        <f>获奖信息!O595</f>
        <v>0</v>
      </c>
    </row>
    <row r="598" spans="1:15" x14ac:dyDescent="0.2">
      <c r="A598">
        <f>获奖信息!A596</f>
        <v>0</v>
      </c>
      <c r="B598">
        <f>获奖信息!B596</f>
        <v>0</v>
      </c>
      <c r="C598">
        <f>获奖信息!C596</f>
        <v>0</v>
      </c>
      <c r="D598">
        <f>获奖信息!D596</f>
        <v>0</v>
      </c>
      <c r="E598">
        <f>获奖信息!E596</f>
        <v>0</v>
      </c>
      <c r="F598">
        <f>获奖信息!F596</f>
        <v>0</v>
      </c>
      <c r="G598">
        <f>获奖信息!G596</f>
        <v>0</v>
      </c>
      <c r="H598">
        <f>获奖信息!H596</f>
        <v>0</v>
      </c>
      <c r="I598">
        <f>获奖信息!I596</f>
        <v>0</v>
      </c>
      <c r="J598">
        <f>获奖信息!J596</f>
        <v>0</v>
      </c>
      <c r="K598">
        <f>获奖信息!K596</f>
        <v>0</v>
      </c>
      <c r="L598">
        <f>获奖信息!L596</f>
        <v>0</v>
      </c>
      <c r="M598">
        <f>获奖信息!M596</f>
        <v>0</v>
      </c>
      <c r="N598">
        <f>获奖信息!N596</f>
        <v>0</v>
      </c>
      <c r="O598">
        <f>获奖信息!O596</f>
        <v>0</v>
      </c>
    </row>
    <row r="599" spans="1:15" x14ac:dyDescent="0.2">
      <c r="A599">
        <f>获奖信息!A597</f>
        <v>0</v>
      </c>
      <c r="B599">
        <f>获奖信息!B597</f>
        <v>0</v>
      </c>
      <c r="C599">
        <f>获奖信息!C597</f>
        <v>0</v>
      </c>
      <c r="D599">
        <f>获奖信息!D597</f>
        <v>0</v>
      </c>
      <c r="E599">
        <f>获奖信息!E597</f>
        <v>0</v>
      </c>
      <c r="F599">
        <f>获奖信息!F597</f>
        <v>0</v>
      </c>
      <c r="G599">
        <f>获奖信息!G597</f>
        <v>0</v>
      </c>
      <c r="H599">
        <f>获奖信息!H597</f>
        <v>0</v>
      </c>
      <c r="I599">
        <f>获奖信息!I597</f>
        <v>0</v>
      </c>
      <c r="J599">
        <f>获奖信息!J597</f>
        <v>0</v>
      </c>
      <c r="K599">
        <f>获奖信息!K597</f>
        <v>0</v>
      </c>
      <c r="L599">
        <f>获奖信息!L597</f>
        <v>0</v>
      </c>
      <c r="M599">
        <f>获奖信息!M597</f>
        <v>0</v>
      </c>
      <c r="N599">
        <f>获奖信息!N597</f>
        <v>0</v>
      </c>
      <c r="O599">
        <f>获奖信息!O597</f>
        <v>0</v>
      </c>
    </row>
    <row r="600" spans="1:15" x14ac:dyDescent="0.2">
      <c r="A600">
        <f>获奖信息!A598</f>
        <v>0</v>
      </c>
      <c r="B600">
        <f>获奖信息!B598</f>
        <v>0</v>
      </c>
      <c r="C600">
        <f>获奖信息!C598</f>
        <v>0</v>
      </c>
      <c r="D600">
        <f>获奖信息!D598</f>
        <v>0</v>
      </c>
      <c r="E600">
        <f>获奖信息!E598</f>
        <v>0</v>
      </c>
      <c r="F600">
        <f>获奖信息!F598</f>
        <v>0</v>
      </c>
      <c r="G600">
        <f>获奖信息!G598</f>
        <v>0</v>
      </c>
      <c r="H600">
        <f>获奖信息!H598</f>
        <v>0</v>
      </c>
      <c r="I600">
        <f>获奖信息!I598</f>
        <v>0</v>
      </c>
      <c r="J600">
        <f>获奖信息!J598</f>
        <v>0</v>
      </c>
      <c r="K600">
        <f>获奖信息!K598</f>
        <v>0</v>
      </c>
      <c r="L600">
        <f>获奖信息!L598</f>
        <v>0</v>
      </c>
      <c r="M600">
        <f>获奖信息!M598</f>
        <v>0</v>
      </c>
      <c r="N600">
        <f>获奖信息!N598</f>
        <v>0</v>
      </c>
      <c r="O600">
        <f>获奖信息!O598</f>
        <v>0</v>
      </c>
    </row>
    <row r="601" spans="1:15" x14ac:dyDescent="0.2">
      <c r="A601">
        <f>获奖信息!A599</f>
        <v>0</v>
      </c>
      <c r="B601">
        <f>获奖信息!B599</f>
        <v>0</v>
      </c>
      <c r="C601">
        <f>获奖信息!C599</f>
        <v>0</v>
      </c>
      <c r="D601">
        <f>获奖信息!D599</f>
        <v>0</v>
      </c>
      <c r="E601">
        <f>获奖信息!E599</f>
        <v>0</v>
      </c>
      <c r="F601">
        <f>获奖信息!F599</f>
        <v>0</v>
      </c>
      <c r="G601">
        <f>获奖信息!G599</f>
        <v>0</v>
      </c>
      <c r="H601">
        <f>获奖信息!H599</f>
        <v>0</v>
      </c>
      <c r="I601">
        <f>获奖信息!I599</f>
        <v>0</v>
      </c>
      <c r="J601">
        <f>获奖信息!J599</f>
        <v>0</v>
      </c>
      <c r="K601">
        <f>获奖信息!K599</f>
        <v>0</v>
      </c>
      <c r="L601">
        <f>获奖信息!L599</f>
        <v>0</v>
      </c>
      <c r="M601">
        <f>获奖信息!M599</f>
        <v>0</v>
      </c>
      <c r="N601">
        <f>获奖信息!N599</f>
        <v>0</v>
      </c>
      <c r="O601">
        <f>获奖信息!O599</f>
        <v>0</v>
      </c>
    </row>
    <row r="602" spans="1:15" x14ac:dyDescent="0.2">
      <c r="A602">
        <f>获奖信息!A600</f>
        <v>0</v>
      </c>
      <c r="B602">
        <f>获奖信息!B600</f>
        <v>0</v>
      </c>
      <c r="C602">
        <f>获奖信息!C600</f>
        <v>0</v>
      </c>
      <c r="D602">
        <f>获奖信息!D600</f>
        <v>0</v>
      </c>
      <c r="E602">
        <f>获奖信息!E600</f>
        <v>0</v>
      </c>
      <c r="F602">
        <f>获奖信息!F600</f>
        <v>0</v>
      </c>
      <c r="G602">
        <f>获奖信息!G600</f>
        <v>0</v>
      </c>
      <c r="H602">
        <f>获奖信息!H600</f>
        <v>0</v>
      </c>
      <c r="I602">
        <f>获奖信息!I600</f>
        <v>0</v>
      </c>
      <c r="J602">
        <f>获奖信息!J600</f>
        <v>0</v>
      </c>
      <c r="K602">
        <f>获奖信息!K600</f>
        <v>0</v>
      </c>
      <c r="L602">
        <f>获奖信息!L600</f>
        <v>0</v>
      </c>
      <c r="M602">
        <f>获奖信息!M600</f>
        <v>0</v>
      </c>
      <c r="N602">
        <f>获奖信息!N600</f>
        <v>0</v>
      </c>
      <c r="O602">
        <f>获奖信息!O600</f>
        <v>0</v>
      </c>
    </row>
    <row r="603" spans="1:15" x14ac:dyDescent="0.2">
      <c r="A603">
        <f>获奖信息!A601</f>
        <v>0</v>
      </c>
      <c r="B603">
        <f>获奖信息!B601</f>
        <v>0</v>
      </c>
      <c r="C603">
        <f>获奖信息!C601</f>
        <v>0</v>
      </c>
      <c r="D603">
        <f>获奖信息!D601</f>
        <v>0</v>
      </c>
      <c r="E603">
        <f>获奖信息!E601</f>
        <v>0</v>
      </c>
      <c r="F603">
        <f>获奖信息!F601</f>
        <v>0</v>
      </c>
      <c r="G603">
        <f>获奖信息!G601</f>
        <v>0</v>
      </c>
      <c r="H603">
        <f>获奖信息!H601</f>
        <v>0</v>
      </c>
      <c r="I603">
        <f>获奖信息!I601</f>
        <v>0</v>
      </c>
      <c r="J603">
        <f>获奖信息!J601</f>
        <v>0</v>
      </c>
      <c r="K603">
        <f>获奖信息!K601</f>
        <v>0</v>
      </c>
      <c r="L603">
        <f>获奖信息!L601</f>
        <v>0</v>
      </c>
      <c r="M603">
        <f>获奖信息!M601</f>
        <v>0</v>
      </c>
      <c r="N603">
        <f>获奖信息!N601</f>
        <v>0</v>
      </c>
      <c r="O603">
        <f>获奖信息!O601</f>
        <v>0</v>
      </c>
    </row>
    <row r="604" spans="1:15" x14ac:dyDescent="0.2">
      <c r="A604">
        <f>获奖信息!A602</f>
        <v>0</v>
      </c>
      <c r="B604">
        <f>获奖信息!B602</f>
        <v>0</v>
      </c>
      <c r="C604">
        <f>获奖信息!C602</f>
        <v>0</v>
      </c>
      <c r="D604">
        <f>获奖信息!D602</f>
        <v>0</v>
      </c>
      <c r="E604">
        <f>获奖信息!E602</f>
        <v>0</v>
      </c>
      <c r="F604">
        <f>获奖信息!F602</f>
        <v>0</v>
      </c>
      <c r="G604">
        <f>获奖信息!G602</f>
        <v>0</v>
      </c>
      <c r="H604">
        <f>获奖信息!H602</f>
        <v>0</v>
      </c>
      <c r="I604">
        <f>获奖信息!I602</f>
        <v>0</v>
      </c>
      <c r="J604">
        <f>获奖信息!J602</f>
        <v>0</v>
      </c>
      <c r="K604">
        <f>获奖信息!K602</f>
        <v>0</v>
      </c>
      <c r="L604">
        <f>获奖信息!L602</f>
        <v>0</v>
      </c>
      <c r="M604">
        <f>获奖信息!M602</f>
        <v>0</v>
      </c>
      <c r="N604">
        <f>获奖信息!N602</f>
        <v>0</v>
      </c>
      <c r="O604">
        <f>获奖信息!O602</f>
        <v>0</v>
      </c>
    </row>
    <row r="605" spans="1:15" x14ac:dyDescent="0.2">
      <c r="A605">
        <f>获奖信息!A603</f>
        <v>0</v>
      </c>
      <c r="B605">
        <f>获奖信息!B603</f>
        <v>0</v>
      </c>
      <c r="C605">
        <f>获奖信息!C603</f>
        <v>0</v>
      </c>
      <c r="D605">
        <f>获奖信息!D603</f>
        <v>0</v>
      </c>
      <c r="E605">
        <f>获奖信息!E603</f>
        <v>0</v>
      </c>
      <c r="F605">
        <f>获奖信息!F603</f>
        <v>0</v>
      </c>
      <c r="G605">
        <f>获奖信息!G603</f>
        <v>0</v>
      </c>
      <c r="H605">
        <f>获奖信息!H603</f>
        <v>0</v>
      </c>
      <c r="I605">
        <f>获奖信息!I603</f>
        <v>0</v>
      </c>
      <c r="J605">
        <f>获奖信息!J603</f>
        <v>0</v>
      </c>
      <c r="K605">
        <f>获奖信息!K603</f>
        <v>0</v>
      </c>
      <c r="L605">
        <f>获奖信息!L603</f>
        <v>0</v>
      </c>
      <c r="M605">
        <f>获奖信息!M603</f>
        <v>0</v>
      </c>
      <c r="N605">
        <f>获奖信息!N603</f>
        <v>0</v>
      </c>
      <c r="O605">
        <f>获奖信息!O603</f>
        <v>0</v>
      </c>
    </row>
    <row r="606" spans="1:15" x14ac:dyDescent="0.2">
      <c r="A606">
        <f>获奖信息!A604</f>
        <v>0</v>
      </c>
      <c r="B606">
        <f>获奖信息!B604</f>
        <v>0</v>
      </c>
      <c r="C606">
        <f>获奖信息!C604</f>
        <v>0</v>
      </c>
      <c r="D606">
        <f>获奖信息!D604</f>
        <v>0</v>
      </c>
      <c r="E606">
        <f>获奖信息!E604</f>
        <v>0</v>
      </c>
      <c r="F606">
        <f>获奖信息!F604</f>
        <v>0</v>
      </c>
      <c r="G606">
        <f>获奖信息!G604</f>
        <v>0</v>
      </c>
      <c r="H606">
        <f>获奖信息!H604</f>
        <v>0</v>
      </c>
      <c r="I606">
        <f>获奖信息!I604</f>
        <v>0</v>
      </c>
      <c r="J606">
        <f>获奖信息!J604</f>
        <v>0</v>
      </c>
      <c r="K606">
        <f>获奖信息!K604</f>
        <v>0</v>
      </c>
      <c r="L606">
        <f>获奖信息!L604</f>
        <v>0</v>
      </c>
      <c r="M606">
        <f>获奖信息!M604</f>
        <v>0</v>
      </c>
      <c r="N606">
        <f>获奖信息!N604</f>
        <v>0</v>
      </c>
      <c r="O606">
        <f>获奖信息!O604</f>
        <v>0</v>
      </c>
    </row>
    <row r="607" spans="1:15" x14ac:dyDescent="0.2">
      <c r="A607">
        <f>获奖信息!A605</f>
        <v>0</v>
      </c>
      <c r="B607">
        <f>获奖信息!B605</f>
        <v>0</v>
      </c>
      <c r="C607">
        <f>获奖信息!C605</f>
        <v>0</v>
      </c>
      <c r="D607">
        <f>获奖信息!D605</f>
        <v>0</v>
      </c>
      <c r="E607">
        <f>获奖信息!E605</f>
        <v>0</v>
      </c>
      <c r="F607">
        <f>获奖信息!F605</f>
        <v>0</v>
      </c>
      <c r="G607">
        <f>获奖信息!G605</f>
        <v>0</v>
      </c>
      <c r="H607">
        <f>获奖信息!H605</f>
        <v>0</v>
      </c>
      <c r="I607">
        <f>获奖信息!I605</f>
        <v>0</v>
      </c>
      <c r="J607">
        <f>获奖信息!J605</f>
        <v>0</v>
      </c>
      <c r="K607">
        <f>获奖信息!K605</f>
        <v>0</v>
      </c>
      <c r="L607">
        <f>获奖信息!L605</f>
        <v>0</v>
      </c>
      <c r="M607">
        <f>获奖信息!M605</f>
        <v>0</v>
      </c>
      <c r="N607">
        <f>获奖信息!N605</f>
        <v>0</v>
      </c>
      <c r="O607">
        <f>获奖信息!O605</f>
        <v>0</v>
      </c>
    </row>
    <row r="608" spans="1:15" x14ac:dyDescent="0.2">
      <c r="A608">
        <f>获奖信息!A606</f>
        <v>0</v>
      </c>
      <c r="B608">
        <f>获奖信息!B606</f>
        <v>0</v>
      </c>
      <c r="C608">
        <f>获奖信息!C606</f>
        <v>0</v>
      </c>
      <c r="D608">
        <f>获奖信息!D606</f>
        <v>0</v>
      </c>
      <c r="E608">
        <f>获奖信息!E606</f>
        <v>0</v>
      </c>
      <c r="F608">
        <f>获奖信息!F606</f>
        <v>0</v>
      </c>
      <c r="G608">
        <f>获奖信息!G606</f>
        <v>0</v>
      </c>
      <c r="H608">
        <f>获奖信息!H606</f>
        <v>0</v>
      </c>
      <c r="I608">
        <f>获奖信息!I606</f>
        <v>0</v>
      </c>
      <c r="J608">
        <f>获奖信息!J606</f>
        <v>0</v>
      </c>
      <c r="K608">
        <f>获奖信息!K606</f>
        <v>0</v>
      </c>
      <c r="L608">
        <f>获奖信息!L606</f>
        <v>0</v>
      </c>
      <c r="M608">
        <f>获奖信息!M606</f>
        <v>0</v>
      </c>
      <c r="N608">
        <f>获奖信息!N606</f>
        <v>0</v>
      </c>
      <c r="O608">
        <f>获奖信息!O606</f>
        <v>0</v>
      </c>
    </row>
    <row r="609" spans="1:15" x14ac:dyDescent="0.2">
      <c r="A609">
        <f>获奖信息!A607</f>
        <v>0</v>
      </c>
      <c r="B609">
        <f>获奖信息!B607</f>
        <v>0</v>
      </c>
      <c r="C609">
        <f>获奖信息!C607</f>
        <v>0</v>
      </c>
      <c r="D609">
        <f>获奖信息!D607</f>
        <v>0</v>
      </c>
      <c r="E609">
        <f>获奖信息!E607</f>
        <v>0</v>
      </c>
      <c r="F609">
        <f>获奖信息!F607</f>
        <v>0</v>
      </c>
      <c r="G609">
        <f>获奖信息!G607</f>
        <v>0</v>
      </c>
      <c r="H609">
        <f>获奖信息!H607</f>
        <v>0</v>
      </c>
      <c r="I609">
        <f>获奖信息!I607</f>
        <v>0</v>
      </c>
      <c r="J609">
        <f>获奖信息!J607</f>
        <v>0</v>
      </c>
      <c r="K609">
        <f>获奖信息!K607</f>
        <v>0</v>
      </c>
      <c r="L609">
        <f>获奖信息!L607</f>
        <v>0</v>
      </c>
      <c r="M609">
        <f>获奖信息!M607</f>
        <v>0</v>
      </c>
      <c r="N609">
        <f>获奖信息!N607</f>
        <v>0</v>
      </c>
      <c r="O609">
        <f>获奖信息!O607</f>
        <v>0</v>
      </c>
    </row>
    <row r="610" spans="1:15" x14ac:dyDescent="0.2">
      <c r="A610">
        <f>获奖信息!A608</f>
        <v>0</v>
      </c>
      <c r="B610">
        <f>获奖信息!B608</f>
        <v>0</v>
      </c>
      <c r="C610">
        <f>获奖信息!C608</f>
        <v>0</v>
      </c>
      <c r="D610">
        <f>获奖信息!D608</f>
        <v>0</v>
      </c>
      <c r="E610">
        <f>获奖信息!E608</f>
        <v>0</v>
      </c>
      <c r="F610">
        <f>获奖信息!F608</f>
        <v>0</v>
      </c>
      <c r="G610">
        <f>获奖信息!G608</f>
        <v>0</v>
      </c>
      <c r="H610">
        <f>获奖信息!H608</f>
        <v>0</v>
      </c>
      <c r="I610">
        <f>获奖信息!I608</f>
        <v>0</v>
      </c>
      <c r="J610">
        <f>获奖信息!J608</f>
        <v>0</v>
      </c>
      <c r="K610">
        <f>获奖信息!K608</f>
        <v>0</v>
      </c>
      <c r="L610">
        <f>获奖信息!L608</f>
        <v>0</v>
      </c>
      <c r="M610">
        <f>获奖信息!M608</f>
        <v>0</v>
      </c>
      <c r="N610">
        <f>获奖信息!N608</f>
        <v>0</v>
      </c>
      <c r="O610">
        <f>获奖信息!O608</f>
        <v>0</v>
      </c>
    </row>
    <row r="611" spans="1:15" x14ac:dyDescent="0.2">
      <c r="A611">
        <f>获奖信息!A609</f>
        <v>0</v>
      </c>
      <c r="B611">
        <f>获奖信息!B609</f>
        <v>0</v>
      </c>
      <c r="C611">
        <f>获奖信息!C609</f>
        <v>0</v>
      </c>
      <c r="D611">
        <f>获奖信息!D609</f>
        <v>0</v>
      </c>
      <c r="E611">
        <f>获奖信息!E609</f>
        <v>0</v>
      </c>
      <c r="F611">
        <f>获奖信息!F609</f>
        <v>0</v>
      </c>
      <c r="G611">
        <f>获奖信息!G609</f>
        <v>0</v>
      </c>
      <c r="H611">
        <f>获奖信息!H609</f>
        <v>0</v>
      </c>
      <c r="I611">
        <f>获奖信息!I609</f>
        <v>0</v>
      </c>
      <c r="J611">
        <f>获奖信息!J609</f>
        <v>0</v>
      </c>
      <c r="K611">
        <f>获奖信息!K609</f>
        <v>0</v>
      </c>
      <c r="L611">
        <f>获奖信息!L609</f>
        <v>0</v>
      </c>
      <c r="M611">
        <f>获奖信息!M609</f>
        <v>0</v>
      </c>
      <c r="N611">
        <f>获奖信息!N609</f>
        <v>0</v>
      </c>
      <c r="O611">
        <f>获奖信息!O609</f>
        <v>0</v>
      </c>
    </row>
    <row r="612" spans="1:15" x14ac:dyDescent="0.2">
      <c r="A612">
        <f>获奖信息!A610</f>
        <v>0</v>
      </c>
      <c r="B612">
        <f>获奖信息!B610</f>
        <v>0</v>
      </c>
      <c r="C612">
        <f>获奖信息!C610</f>
        <v>0</v>
      </c>
      <c r="D612">
        <f>获奖信息!D610</f>
        <v>0</v>
      </c>
      <c r="E612">
        <f>获奖信息!E610</f>
        <v>0</v>
      </c>
      <c r="F612">
        <f>获奖信息!F610</f>
        <v>0</v>
      </c>
      <c r="G612">
        <f>获奖信息!G610</f>
        <v>0</v>
      </c>
      <c r="H612">
        <f>获奖信息!H610</f>
        <v>0</v>
      </c>
      <c r="I612">
        <f>获奖信息!I610</f>
        <v>0</v>
      </c>
      <c r="J612">
        <f>获奖信息!J610</f>
        <v>0</v>
      </c>
      <c r="K612">
        <f>获奖信息!K610</f>
        <v>0</v>
      </c>
      <c r="L612">
        <f>获奖信息!L610</f>
        <v>0</v>
      </c>
      <c r="M612">
        <f>获奖信息!M610</f>
        <v>0</v>
      </c>
      <c r="N612">
        <f>获奖信息!N610</f>
        <v>0</v>
      </c>
      <c r="O612">
        <f>获奖信息!O610</f>
        <v>0</v>
      </c>
    </row>
    <row r="613" spans="1:15" x14ac:dyDescent="0.2">
      <c r="A613">
        <f>获奖信息!A611</f>
        <v>0</v>
      </c>
      <c r="B613">
        <f>获奖信息!B611</f>
        <v>0</v>
      </c>
      <c r="C613">
        <f>获奖信息!C611</f>
        <v>0</v>
      </c>
      <c r="D613">
        <f>获奖信息!D611</f>
        <v>0</v>
      </c>
      <c r="E613">
        <f>获奖信息!E611</f>
        <v>0</v>
      </c>
      <c r="F613">
        <f>获奖信息!F611</f>
        <v>0</v>
      </c>
      <c r="G613">
        <f>获奖信息!G611</f>
        <v>0</v>
      </c>
      <c r="H613">
        <f>获奖信息!H611</f>
        <v>0</v>
      </c>
      <c r="I613">
        <f>获奖信息!I611</f>
        <v>0</v>
      </c>
      <c r="J613">
        <f>获奖信息!J611</f>
        <v>0</v>
      </c>
      <c r="K613">
        <f>获奖信息!K611</f>
        <v>0</v>
      </c>
      <c r="L613">
        <f>获奖信息!L611</f>
        <v>0</v>
      </c>
      <c r="M613">
        <f>获奖信息!M611</f>
        <v>0</v>
      </c>
      <c r="N613">
        <f>获奖信息!N611</f>
        <v>0</v>
      </c>
      <c r="O613">
        <f>获奖信息!O611</f>
        <v>0</v>
      </c>
    </row>
    <row r="614" spans="1:15" x14ac:dyDescent="0.2">
      <c r="A614">
        <f>获奖信息!A612</f>
        <v>0</v>
      </c>
      <c r="B614">
        <f>获奖信息!B612</f>
        <v>0</v>
      </c>
      <c r="C614">
        <f>获奖信息!C612</f>
        <v>0</v>
      </c>
      <c r="D614">
        <f>获奖信息!D612</f>
        <v>0</v>
      </c>
      <c r="E614">
        <f>获奖信息!E612</f>
        <v>0</v>
      </c>
      <c r="F614">
        <f>获奖信息!F612</f>
        <v>0</v>
      </c>
      <c r="G614">
        <f>获奖信息!G612</f>
        <v>0</v>
      </c>
      <c r="H614">
        <f>获奖信息!H612</f>
        <v>0</v>
      </c>
      <c r="I614">
        <f>获奖信息!I612</f>
        <v>0</v>
      </c>
      <c r="J614">
        <f>获奖信息!J612</f>
        <v>0</v>
      </c>
      <c r="K614">
        <f>获奖信息!K612</f>
        <v>0</v>
      </c>
      <c r="L614">
        <f>获奖信息!L612</f>
        <v>0</v>
      </c>
      <c r="M614">
        <f>获奖信息!M612</f>
        <v>0</v>
      </c>
      <c r="N614">
        <f>获奖信息!N612</f>
        <v>0</v>
      </c>
      <c r="O614">
        <f>获奖信息!O612</f>
        <v>0</v>
      </c>
    </row>
    <row r="615" spans="1:15" x14ac:dyDescent="0.2">
      <c r="A615">
        <f>获奖信息!A613</f>
        <v>0</v>
      </c>
      <c r="B615">
        <f>获奖信息!B613</f>
        <v>0</v>
      </c>
      <c r="C615">
        <f>获奖信息!C613</f>
        <v>0</v>
      </c>
      <c r="D615">
        <f>获奖信息!D613</f>
        <v>0</v>
      </c>
      <c r="E615">
        <f>获奖信息!E613</f>
        <v>0</v>
      </c>
      <c r="F615">
        <f>获奖信息!F613</f>
        <v>0</v>
      </c>
      <c r="G615">
        <f>获奖信息!G613</f>
        <v>0</v>
      </c>
      <c r="H615">
        <f>获奖信息!H613</f>
        <v>0</v>
      </c>
      <c r="I615">
        <f>获奖信息!I613</f>
        <v>0</v>
      </c>
      <c r="J615">
        <f>获奖信息!J613</f>
        <v>0</v>
      </c>
      <c r="K615">
        <f>获奖信息!K613</f>
        <v>0</v>
      </c>
      <c r="L615">
        <f>获奖信息!L613</f>
        <v>0</v>
      </c>
      <c r="M615">
        <f>获奖信息!M613</f>
        <v>0</v>
      </c>
      <c r="N615">
        <f>获奖信息!N613</f>
        <v>0</v>
      </c>
      <c r="O615">
        <f>获奖信息!O613</f>
        <v>0</v>
      </c>
    </row>
    <row r="616" spans="1:15" x14ac:dyDescent="0.2">
      <c r="A616">
        <f>获奖信息!A614</f>
        <v>0</v>
      </c>
      <c r="B616">
        <f>获奖信息!B614</f>
        <v>0</v>
      </c>
      <c r="C616">
        <f>获奖信息!C614</f>
        <v>0</v>
      </c>
      <c r="D616">
        <f>获奖信息!D614</f>
        <v>0</v>
      </c>
      <c r="E616">
        <f>获奖信息!E614</f>
        <v>0</v>
      </c>
      <c r="F616">
        <f>获奖信息!F614</f>
        <v>0</v>
      </c>
      <c r="G616">
        <f>获奖信息!G614</f>
        <v>0</v>
      </c>
      <c r="H616">
        <f>获奖信息!H614</f>
        <v>0</v>
      </c>
      <c r="I616">
        <f>获奖信息!I614</f>
        <v>0</v>
      </c>
      <c r="J616">
        <f>获奖信息!J614</f>
        <v>0</v>
      </c>
      <c r="K616">
        <f>获奖信息!K614</f>
        <v>0</v>
      </c>
      <c r="L616">
        <f>获奖信息!L614</f>
        <v>0</v>
      </c>
      <c r="M616">
        <f>获奖信息!M614</f>
        <v>0</v>
      </c>
      <c r="N616">
        <f>获奖信息!N614</f>
        <v>0</v>
      </c>
      <c r="O616">
        <f>获奖信息!O614</f>
        <v>0</v>
      </c>
    </row>
    <row r="617" spans="1:15" x14ac:dyDescent="0.2">
      <c r="A617">
        <f>获奖信息!A615</f>
        <v>0</v>
      </c>
      <c r="B617">
        <f>获奖信息!B615</f>
        <v>0</v>
      </c>
      <c r="C617">
        <f>获奖信息!C615</f>
        <v>0</v>
      </c>
      <c r="D617">
        <f>获奖信息!D615</f>
        <v>0</v>
      </c>
      <c r="E617">
        <f>获奖信息!E615</f>
        <v>0</v>
      </c>
      <c r="F617">
        <f>获奖信息!F615</f>
        <v>0</v>
      </c>
      <c r="G617">
        <f>获奖信息!G615</f>
        <v>0</v>
      </c>
      <c r="H617">
        <f>获奖信息!H615</f>
        <v>0</v>
      </c>
      <c r="I617">
        <f>获奖信息!I615</f>
        <v>0</v>
      </c>
      <c r="J617">
        <f>获奖信息!J615</f>
        <v>0</v>
      </c>
      <c r="K617">
        <f>获奖信息!K615</f>
        <v>0</v>
      </c>
      <c r="L617">
        <f>获奖信息!L615</f>
        <v>0</v>
      </c>
      <c r="M617">
        <f>获奖信息!M615</f>
        <v>0</v>
      </c>
      <c r="N617">
        <f>获奖信息!N615</f>
        <v>0</v>
      </c>
      <c r="O617">
        <f>获奖信息!O615</f>
        <v>0</v>
      </c>
    </row>
    <row r="618" spans="1:15" x14ac:dyDescent="0.2">
      <c r="A618">
        <f>获奖信息!A616</f>
        <v>0</v>
      </c>
      <c r="B618">
        <f>获奖信息!B616</f>
        <v>0</v>
      </c>
      <c r="C618">
        <f>获奖信息!C616</f>
        <v>0</v>
      </c>
      <c r="D618">
        <f>获奖信息!D616</f>
        <v>0</v>
      </c>
      <c r="E618">
        <f>获奖信息!E616</f>
        <v>0</v>
      </c>
      <c r="F618">
        <f>获奖信息!F616</f>
        <v>0</v>
      </c>
      <c r="G618">
        <f>获奖信息!G616</f>
        <v>0</v>
      </c>
      <c r="H618">
        <f>获奖信息!H616</f>
        <v>0</v>
      </c>
      <c r="I618">
        <f>获奖信息!I616</f>
        <v>0</v>
      </c>
      <c r="J618">
        <f>获奖信息!J616</f>
        <v>0</v>
      </c>
      <c r="K618">
        <f>获奖信息!K616</f>
        <v>0</v>
      </c>
      <c r="L618">
        <f>获奖信息!L616</f>
        <v>0</v>
      </c>
      <c r="M618">
        <f>获奖信息!M616</f>
        <v>0</v>
      </c>
      <c r="N618">
        <f>获奖信息!N616</f>
        <v>0</v>
      </c>
      <c r="O618">
        <f>获奖信息!O616</f>
        <v>0</v>
      </c>
    </row>
    <row r="619" spans="1:15" x14ac:dyDescent="0.2">
      <c r="A619">
        <f>获奖信息!A617</f>
        <v>0</v>
      </c>
      <c r="B619">
        <f>获奖信息!B617</f>
        <v>0</v>
      </c>
      <c r="C619">
        <f>获奖信息!C617</f>
        <v>0</v>
      </c>
      <c r="D619">
        <f>获奖信息!D617</f>
        <v>0</v>
      </c>
      <c r="E619">
        <f>获奖信息!E617</f>
        <v>0</v>
      </c>
      <c r="F619">
        <f>获奖信息!F617</f>
        <v>0</v>
      </c>
      <c r="G619">
        <f>获奖信息!G617</f>
        <v>0</v>
      </c>
      <c r="H619">
        <f>获奖信息!H617</f>
        <v>0</v>
      </c>
      <c r="I619">
        <f>获奖信息!I617</f>
        <v>0</v>
      </c>
      <c r="J619">
        <f>获奖信息!J617</f>
        <v>0</v>
      </c>
      <c r="K619">
        <f>获奖信息!K617</f>
        <v>0</v>
      </c>
      <c r="L619">
        <f>获奖信息!L617</f>
        <v>0</v>
      </c>
      <c r="M619">
        <f>获奖信息!M617</f>
        <v>0</v>
      </c>
      <c r="N619">
        <f>获奖信息!N617</f>
        <v>0</v>
      </c>
      <c r="O619">
        <f>获奖信息!O617</f>
        <v>0</v>
      </c>
    </row>
    <row r="620" spans="1:15" x14ac:dyDescent="0.2">
      <c r="A620">
        <f>获奖信息!A618</f>
        <v>0</v>
      </c>
      <c r="B620">
        <f>获奖信息!B618</f>
        <v>0</v>
      </c>
      <c r="C620">
        <f>获奖信息!C618</f>
        <v>0</v>
      </c>
      <c r="D620">
        <f>获奖信息!D618</f>
        <v>0</v>
      </c>
      <c r="E620">
        <f>获奖信息!E618</f>
        <v>0</v>
      </c>
      <c r="F620">
        <f>获奖信息!F618</f>
        <v>0</v>
      </c>
      <c r="G620">
        <f>获奖信息!G618</f>
        <v>0</v>
      </c>
      <c r="H620">
        <f>获奖信息!H618</f>
        <v>0</v>
      </c>
      <c r="I620">
        <f>获奖信息!I618</f>
        <v>0</v>
      </c>
      <c r="J620">
        <f>获奖信息!J618</f>
        <v>0</v>
      </c>
      <c r="K620">
        <f>获奖信息!K618</f>
        <v>0</v>
      </c>
      <c r="L620">
        <f>获奖信息!L618</f>
        <v>0</v>
      </c>
      <c r="M620">
        <f>获奖信息!M618</f>
        <v>0</v>
      </c>
      <c r="N620">
        <f>获奖信息!N618</f>
        <v>0</v>
      </c>
      <c r="O620">
        <f>获奖信息!O618</f>
        <v>0</v>
      </c>
    </row>
    <row r="621" spans="1:15" x14ac:dyDescent="0.2">
      <c r="A621">
        <f>获奖信息!A619</f>
        <v>0</v>
      </c>
      <c r="B621">
        <f>获奖信息!B619</f>
        <v>0</v>
      </c>
      <c r="C621">
        <f>获奖信息!C619</f>
        <v>0</v>
      </c>
      <c r="D621">
        <f>获奖信息!D619</f>
        <v>0</v>
      </c>
      <c r="E621">
        <f>获奖信息!E619</f>
        <v>0</v>
      </c>
      <c r="F621">
        <f>获奖信息!F619</f>
        <v>0</v>
      </c>
      <c r="G621">
        <f>获奖信息!G619</f>
        <v>0</v>
      </c>
      <c r="H621">
        <f>获奖信息!H619</f>
        <v>0</v>
      </c>
      <c r="I621">
        <f>获奖信息!I619</f>
        <v>0</v>
      </c>
      <c r="J621">
        <f>获奖信息!J619</f>
        <v>0</v>
      </c>
      <c r="K621">
        <f>获奖信息!K619</f>
        <v>0</v>
      </c>
      <c r="L621">
        <f>获奖信息!L619</f>
        <v>0</v>
      </c>
      <c r="M621">
        <f>获奖信息!M619</f>
        <v>0</v>
      </c>
      <c r="N621">
        <f>获奖信息!N619</f>
        <v>0</v>
      </c>
      <c r="O621">
        <f>获奖信息!O619</f>
        <v>0</v>
      </c>
    </row>
    <row r="622" spans="1:15" x14ac:dyDescent="0.2">
      <c r="A622">
        <f>获奖信息!A620</f>
        <v>0</v>
      </c>
      <c r="B622">
        <f>获奖信息!B620</f>
        <v>0</v>
      </c>
      <c r="C622">
        <f>获奖信息!C620</f>
        <v>0</v>
      </c>
      <c r="D622">
        <f>获奖信息!D620</f>
        <v>0</v>
      </c>
      <c r="E622">
        <f>获奖信息!E620</f>
        <v>0</v>
      </c>
      <c r="F622">
        <f>获奖信息!F620</f>
        <v>0</v>
      </c>
      <c r="G622">
        <f>获奖信息!G620</f>
        <v>0</v>
      </c>
      <c r="H622">
        <f>获奖信息!H620</f>
        <v>0</v>
      </c>
      <c r="I622">
        <f>获奖信息!I620</f>
        <v>0</v>
      </c>
      <c r="J622">
        <f>获奖信息!J620</f>
        <v>0</v>
      </c>
      <c r="K622">
        <f>获奖信息!K620</f>
        <v>0</v>
      </c>
      <c r="L622">
        <f>获奖信息!L620</f>
        <v>0</v>
      </c>
      <c r="M622">
        <f>获奖信息!M620</f>
        <v>0</v>
      </c>
      <c r="N622">
        <f>获奖信息!N620</f>
        <v>0</v>
      </c>
      <c r="O622">
        <f>获奖信息!O620</f>
        <v>0</v>
      </c>
    </row>
    <row r="623" spans="1:15" x14ac:dyDescent="0.2">
      <c r="A623">
        <f>获奖信息!A621</f>
        <v>0</v>
      </c>
      <c r="B623">
        <f>获奖信息!B621</f>
        <v>0</v>
      </c>
      <c r="C623">
        <f>获奖信息!C621</f>
        <v>0</v>
      </c>
      <c r="D623">
        <f>获奖信息!D621</f>
        <v>0</v>
      </c>
      <c r="E623">
        <f>获奖信息!E621</f>
        <v>0</v>
      </c>
      <c r="F623">
        <f>获奖信息!F621</f>
        <v>0</v>
      </c>
      <c r="G623">
        <f>获奖信息!G621</f>
        <v>0</v>
      </c>
      <c r="H623">
        <f>获奖信息!H621</f>
        <v>0</v>
      </c>
      <c r="I623">
        <f>获奖信息!I621</f>
        <v>0</v>
      </c>
      <c r="J623">
        <f>获奖信息!J621</f>
        <v>0</v>
      </c>
      <c r="K623">
        <f>获奖信息!K621</f>
        <v>0</v>
      </c>
      <c r="L623">
        <f>获奖信息!L621</f>
        <v>0</v>
      </c>
      <c r="M623">
        <f>获奖信息!M621</f>
        <v>0</v>
      </c>
      <c r="N623">
        <f>获奖信息!N621</f>
        <v>0</v>
      </c>
      <c r="O623">
        <f>获奖信息!O621</f>
        <v>0</v>
      </c>
    </row>
    <row r="624" spans="1:15" x14ac:dyDescent="0.2">
      <c r="A624">
        <f>获奖信息!A622</f>
        <v>0</v>
      </c>
      <c r="B624">
        <f>获奖信息!B622</f>
        <v>0</v>
      </c>
      <c r="C624">
        <f>获奖信息!C622</f>
        <v>0</v>
      </c>
      <c r="D624">
        <f>获奖信息!D622</f>
        <v>0</v>
      </c>
      <c r="E624">
        <f>获奖信息!E622</f>
        <v>0</v>
      </c>
      <c r="F624">
        <f>获奖信息!F622</f>
        <v>0</v>
      </c>
      <c r="G624">
        <f>获奖信息!G622</f>
        <v>0</v>
      </c>
      <c r="H624">
        <f>获奖信息!H622</f>
        <v>0</v>
      </c>
      <c r="I624">
        <f>获奖信息!I622</f>
        <v>0</v>
      </c>
      <c r="J624">
        <f>获奖信息!J622</f>
        <v>0</v>
      </c>
      <c r="K624">
        <f>获奖信息!K622</f>
        <v>0</v>
      </c>
      <c r="L624">
        <f>获奖信息!L622</f>
        <v>0</v>
      </c>
      <c r="M624">
        <f>获奖信息!M622</f>
        <v>0</v>
      </c>
      <c r="N624">
        <f>获奖信息!N622</f>
        <v>0</v>
      </c>
      <c r="O624">
        <f>获奖信息!O622</f>
        <v>0</v>
      </c>
    </row>
    <row r="625" spans="1:15" x14ac:dyDescent="0.2">
      <c r="A625">
        <f>获奖信息!A623</f>
        <v>0</v>
      </c>
      <c r="B625">
        <f>获奖信息!B623</f>
        <v>0</v>
      </c>
      <c r="C625">
        <f>获奖信息!C623</f>
        <v>0</v>
      </c>
      <c r="D625">
        <f>获奖信息!D623</f>
        <v>0</v>
      </c>
      <c r="E625">
        <f>获奖信息!E623</f>
        <v>0</v>
      </c>
      <c r="F625">
        <f>获奖信息!F623</f>
        <v>0</v>
      </c>
      <c r="G625">
        <f>获奖信息!G623</f>
        <v>0</v>
      </c>
      <c r="H625">
        <f>获奖信息!H623</f>
        <v>0</v>
      </c>
      <c r="I625">
        <f>获奖信息!I623</f>
        <v>0</v>
      </c>
      <c r="J625">
        <f>获奖信息!J623</f>
        <v>0</v>
      </c>
      <c r="K625">
        <f>获奖信息!K623</f>
        <v>0</v>
      </c>
      <c r="L625">
        <f>获奖信息!L623</f>
        <v>0</v>
      </c>
      <c r="M625">
        <f>获奖信息!M623</f>
        <v>0</v>
      </c>
      <c r="N625">
        <f>获奖信息!N623</f>
        <v>0</v>
      </c>
      <c r="O625">
        <f>获奖信息!O623</f>
        <v>0</v>
      </c>
    </row>
    <row r="626" spans="1:15" x14ac:dyDescent="0.2">
      <c r="A626">
        <f>获奖信息!A624</f>
        <v>0</v>
      </c>
      <c r="B626">
        <f>获奖信息!B624</f>
        <v>0</v>
      </c>
      <c r="C626">
        <f>获奖信息!C624</f>
        <v>0</v>
      </c>
      <c r="D626">
        <f>获奖信息!D624</f>
        <v>0</v>
      </c>
      <c r="E626">
        <f>获奖信息!E624</f>
        <v>0</v>
      </c>
      <c r="F626">
        <f>获奖信息!F624</f>
        <v>0</v>
      </c>
      <c r="G626">
        <f>获奖信息!G624</f>
        <v>0</v>
      </c>
      <c r="H626">
        <f>获奖信息!H624</f>
        <v>0</v>
      </c>
      <c r="I626">
        <f>获奖信息!I624</f>
        <v>0</v>
      </c>
      <c r="J626">
        <f>获奖信息!J624</f>
        <v>0</v>
      </c>
      <c r="K626">
        <f>获奖信息!K624</f>
        <v>0</v>
      </c>
      <c r="L626">
        <f>获奖信息!L624</f>
        <v>0</v>
      </c>
      <c r="M626">
        <f>获奖信息!M624</f>
        <v>0</v>
      </c>
      <c r="N626">
        <f>获奖信息!N624</f>
        <v>0</v>
      </c>
      <c r="O626">
        <f>获奖信息!O624</f>
        <v>0</v>
      </c>
    </row>
    <row r="627" spans="1:15" x14ac:dyDescent="0.2">
      <c r="A627">
        <f>获奖信息!A625</f>
        <v>0</v>
      </c>
      <c r="B627">
        <f>获奖信息!B625</f>
        <v>0</v>
      </c>
      <c r="C627">
        <f>获奖信息!C625</f>
        <v>0</v>
      </c>
      <c r="D627">
        <f>获奖信息!D625</f>
        <v>0</v>
      </c>
      <c r="E627">
        <f>获奖信息!E625</f>
        <v>0</v>
      </c>
      <c r="F627">
        <f>获奖信息!F625</f>
        <v>0</v>
      </c>
      <c r="G627">
        <f>获奖信息!G625</f>
        <v>0</v>
      </c>
      <c r="H627">
        <f>获奖信息!H625</f>
        <v>0</v>
      </c>
      <c r="I627">
        <f>获奖信息!I625</f>
        <v>0</v>
      </c>
      <c r="J627">
        <f>获奖信息!J625</f>
        <v>0</v>
      </c>
      <c r="K627">
        <f>获奖信息!K625</f>
        <v>0</v>
      </c>
      <c r="L627">
        <f>获奖信息!L625</f>
        <v>0</v>
      </c>
      <c r="M627">
        <f>获奖信息!M625</f>
        <v>0</v>
      </c>
      <c r="N627">
        <f>获奖信息!N625</f>
        <v>0</v>
      </c>
      <c r="O627">
        <f>获奖信息!O625</f>
        <v>0</v>
      </c>
    </row>
    <row r="628" spans="1:15" x14ac:dyDescent="0.2">
      <c r="A628">
        <f>获奖信息!A626</f>
        <v>0</v>
      </c>
      <c r="B628">
        <f>获奖信息!B626</f>
        <v>0</v>
      </c>
      <c r="C628">
        <f>获奖信息!C626</f>
        <v>0</v>
      </c>
      <c r="D628">
        <f>获奖信息!D626</f>
        <v>0</v>
      </c>
      <c r="E628">
        <f>获奖信息!E626</f>
        <v>0</v>
      </c>
      <c r="F628">
        <f>获奖信息!F626</f>
        <v>0</v>
      </c>
      <c r="G628">
        <f>获奖信息!G626</f>
        <v>0</v>
      </c>
      <c r="H628">
        <f>获奖信息!H626</f>
        <v>0</v>
      </c>
      <c r="I628">
        <f>获奖信息!I626</f>
        <v>0</v>
      </c>
      <c r="J628">
        <f>获奖信息!J626</f>
        <v>0</v>
      </c>
      <c r="K628">
        <f>获奖信息!K626</f>
        <v>0</v>
      </c>
      <c r="L628">
        <f>获奖信息!L626</f>
        <v>0</v>
      </c>
      <c r="M628">
        <f>获奖信息!M626</f>
        <v>0</v>
      </c>
      <c r="N628">
        <f>获奖信息!N626</f>
        <v>0</v>
      </c>
      <c r="O628">
        <f>获奖信息!O626</f>
        <v>0</v>
      </c>
    </row>
    <row r="629" spans="1:15" x14ac:dyDescent="0.2">
      <c r="A629">
        <f>获奖信息!A627</f>
        <v>0</v>
      </c>
      <c r="B629">
        <f>获奖信息!B627</f>
        <v>0</v>
      </c>
      <c r="C629">
        <f>获奖信息!C627</f>
        <v>0</v>
      </c>
      <c r="D629">
        <f>获奖信息!D627</f>
        <v>0</v>
      </c>
      <c r="E629">
        <f>获奖信息!E627</f>
        <v>0</v>
      </c>
      <c r="F629">
        <f>获奖信息!F627</f>
        <v>0</v>
      </c>
      <c r="G629">
        <f>获奖信息!G627</f>
        <v>0</v>
      </c>
      <c r="H629">
        <f>获奖信息!H627</f>
        <v>0</v>
      </c>
      <c r="I629">
        <f>获奖信息!I627</f>
        <v>0</v>
      </c>
      <c r="J629">
        <f>获奖信息!J627</f>
        <v>0</v>
      </c>
      <c r="K629">
        <f>获奖信息!K627</f>
        <v>0</v>
      </c>
      <c r="L629">
        <f>获奖信息!L627</f>
        <v>0</v>
      </c>
      <c r="M629">
        <f>获奖信息!M627</f>
        <v>0</v>
      </c>
      <c r="N629">
        <f>获奖信息!N627</f>
        <v>0</v>
      </c>
      <c r="O629">
        <f>获奖信息!O627</f>
        <v>0</v>
      </c>
    </row>
    <row r="630" spans="1:15" x14ac:dyDescent="0.2">
      <c r="A630">
        <f>获奖信息!A628</f>
        <v>0</v>
      </c>
      <c r="B630">
        <f>获奖信息!B628</f>
        <v>0</v>
      </c>
      <c r="C630">
        <f>获奖信息!C628</f>
        <v>0</v>
      </c>
      <c r="D630">
        <f>获奖信息!D628</f>
        <v>0</v>
      </c>
      <c r="E630">
        <f>获奖信息!E628</f>
        <v>0</v>
      </c>
      <c r="F630">
        <f>获奖信息!F628</f>
        <v>0</v>
      </c>
      <c r="G630">
        <f>获奖信息!G628</f>
        <v>0</v>
      </c>
      <c r="H630">
        <f>获奖信息!H628</f>
        <v>0</v>
      </c>
      <c r="I630">
        <f>获奖信息!I628</f>
        <v>0</v>
      </c>
      <c r="J630">
        <f>获奖信息!J628</f>
        <v>0</v>
      </c>
      <c r="K630">
        <f>获奖信息!K628</f>
        <v>0</v>
      </c>
      <c r="L630">
        <f>获奖信息!L628</f>
        <v>0</v>
      </c>
      <c r="M630">
        <f>获奖信息!M628</f>
        <v>0</v>
      </c>
      <c r="N630">
        <f>获奖信息!N628</f>
        <v>0</v>
      </c>
      <c r="O630">
        <f>获奖信息!O628</f>
        <v>0</v>
      </c>
    </row>
    <row r="631" spans="1:15" x14ac:dyDescent="0.2">
      <c r="A631">
        <f>获奖信息!A629</f>
        <v>0</v>
      </c>
      <c r="B631">
        <f>获奖信息!B629</f>
        <v>0</v>
      </c>
      <c r="C631">
        <f>获奖信息!C629</f>
        <v>0</v>
      </c>
      <c r="D631">
        <f>获奖信息!D629</f>
        <v>0</v>
      </c>
      <c r="E631">
        <f>获奖信息!E629</f>
        <v>0</v>
      </c>
      <c r="F631">
        <f>获奖信息!F629</f>
        <v>0</v>
      </c>
      <c r="G631">
        <f>获奖信息!G629</f>
        <v>0</v>
      </c>
      <c r="H631">
        <f>获奖信息!H629</f>
        <v>0</v>
      </c>
      <c r="I631">
        <f>获奖信息!I629</f>
        <v>0</v>
      </c>
      <c r="J631">
        <f>获奖信息!J629</f>
        <v>0</v>
      </c>
      <c r="K631">
        <f>获奖信息!K629</f>
        <v>0</v>
      </c>
      <c r="L631">
        <f>获奖信息!L629</f>
        <v>0</v>
      </c>
      <c r="M631">
        <f>获奖信息!M629</f>
        <v>0</v>
      </c>
      <c r="N631">
        <f>获奖信息!N629</f>
        <v>0</v>
      </c>
      <c r="O631">
        <f>获奖信息!O629</f>
        <v>0</v>
      </c>
    </row>
    <row r="632" spans="1:15" x14ac:dyDescent="0.2">
      <c r="A632">
        <f>获奖信息!A630</f>
        <v>0</v>
      </c>
      <c r="B632">
        <f>获奖信息!B630</f>
        <v>0</v>
      </c>
      <c r="C632">
        <f>获奖信息!C630</f>
        <v>0</v>
      </c>
      <c r="D632">
        <f>获奖信息!D630</f>
        <v>0</v>
      </c>
      <c r="E632">
        <f>获奖信息!E630</f>
        <v>0</v>
      </c>
      <c r="F632">
        <f>获奖信息!F630</f>
        <v>0</v>
      </c>
      <c r="G632">
        <f>获奖信息!G630</f>
        <v>0</v>
      </c>
      <c r="H632">
        <f>获奖信息!H630</f>
        <v>0</v>
      </c>
      <c r="I632">
        <f>获奖信息!I630</f>
        <v>0</v>
      </c>
      <c r="J632">
        <f>获奖信息!J630</f>
        <v>0</v>
      </c>
      <c r="K632">
        <f>获奖信息!K630</f>
        <v>0</v>
      </c>
      <c r="L632">
        <f>获奖信息!L630</f>
        <v>0</v>
      </c>
      <c r="M632">
        <f>获奖信息!M630</f>
        <v>0</v>
      </c>
      <c r="N632">
        <f>获奖信息!N630</f>
        <v>0</v>
      </c>
      <c r="O632">
        <f>获奖信息!O630</f>
        <v>0</v>
      </c>
    </row>
    <row r="633" spans="1:15" x14ac:dyDescent="0.2">
      <c r="A633">
        <f>获奖信息!A631</f>
        <v>0</v>
      </c>
      <c r="B633">
        <f>获奖信息!B631</f>
        <v>0</v>
      </c>
      <c r="C633">
        <f>获奖信息!C631</f>
        <v>0</v>
      </c>
      <c r="D633">
        <f>获奖信息!D631</f>
        <v>0</v>
      </c>
      <c r="E633">
        <f>获奖信息!E631</f>
        <v>0</v>
      </c>
      <c r="F633">
        <f>获奖信息!F631</f>
        <v>0</v>
      </c>
      <c r="G633">
        <f>获奖信息!G631</f>
        <v>0</v>
      </c>
      <c r="H633">
        <f>获奖信息!H631</f>
        <v>0</v>
      </c>
      <c r="I633">
        <f>获奖信息!I631</f>
        <v>0</v>
      </c>
      <c r="J633">
        <f>获奖信息!J631</f>
        <v>0</v>
      </c>
      <c r="K633">
        <f>获奖信息!K631</f>
        <v>0</v>
      </c>
      <c r="L633">
        <f>获奖信息!L631</f>
        <v>0</v>
      </c>
      <c r="M633">
        <f>获奖信息!M631</f>
        <v>0</v>
      </c>
      <c r="N633">
        <f>获奖信息!N631</f>
        <v>0</v>
      </c>
      <c r="O633">
        <f>获奖信息!O631</f>
        <v>0</v>
      </c>
    </row>
    <row r="634" spans="1:15" x14ac:dyDescent="0.2">
      <c r="A634">
        <f>获奖信息!A632</f>
        <v>0</v>
      </c>
      <c r="B634">
        <f>获奖信息!B632</f>
        <v>0</v>
      </c>
      <c r="C634">
        <f>获奖信息!C632</f>
        <v>0</v>
      </c>
      <c r="D634">
        <f>获奖信息!D632</f>
        <v>0</v>
      </c>
      <c r="E634">
        <f>获奖信息!E632</f>
        <v>0</v>
      </c>
      <c r="F634">
        <f>获奖信息!F632</f>
        <v>0</v>
      </c>
      <c r="G634">
        <f>获奖信息!G632</f>
        <v>0</v>
      </c>
      <c r="H634">
        <f>获奖信息!H632</f>
        <v>0</v>
      </c>
      <c r="I634">
        <f>获奖信息!I632</f>
        <v>0</v>
      </c>
      <c r="J634">
        <f>获奖信息!J632</f>
        <v>0</v>
      </c>
      <c r="K634">
        <f>获奖信息!K632</f>
        <v>0</v>
      </c>
      <c r="L634">
        <f>获奖信息!L632</f>
        <v>0</v>
      </c>
      <c r="M634">
        <f>获奖信息!M632</f>
        <v>0</v>
      </c>
      <c r="N634">
        <f>获奖信息!N632</f>
        <v>0</v>
      </c>
      <c r="O634">
        <f>获奖信息!O632</f>
        <v>0</v>
      </c>
    </row>
    <row r="635" spans="1:15" x14ac:dyDescent="0.2">
      <c r="A635">
        <f>获奖信息!A633</f>
        <v>0</v>
      </c>
      <c r="B635">
        <f>获奖信息!B633</f>
        <v>0</v>
      </c>
      <c r="C635">
        <f>获奖信息!C633</f>
        <v>0</v>
      </c>
      <c r="D635">
        <f>获奖信息!D633</f>
        <v>0</v>
      </c>
      <c r="E635">
        <f>获奖信息!E633</f>
        <v>0</v>
      </c>
      <c r="F635">
        <f>获奖信息!F633</f>
        <v>0</v>
      </c>
      <c r="G635">
        <f>获奖信息!G633</f>
        <v>0</v>
      </c>
      <c r="H635">
        <f>获奖信息!H633</f>
        <v>0</v>
      </c>
      <c r="I635">
        <f>获奖信息!I633</f>
        <v>0</v>
      </c>
      <c r="J635">
        <f>获奖信息!J633</f>
        <v>0</v>
      </c>
      <c r="K635">
        <f>获奖信息!K633</f>
        <v>0</v>
      </c>
      <c r="L635">
        <f>获奖信息!L633</f>
        <v>0</v>
      </c>
      <c r="M635">
        <f>获奖信息!M633</f>
        <v>0</v>
      </c>
      <c r="N635">
        <f>获奖信息!N633</f>
        <v>0</v>
      </c>
      <c r="O635">
        <f>获奖信息!O633</f>
        <v>0</v>
      </c>
    </row>
    <row r="636" spans="1:15" x14ac:dyDescent="0.2">
      <c r="A636">
        <f>获奖信息!A634</f>
        <v>0</v>
      </c>
      <c r="B636">
        <f>获奖信息!B634</f>
        <v>0</v>
      </c>
      <c r="C636">
        <f>获奖信息!C634</f>
        <v>0</v>
      </c>
      <c r="D636">
        <f>获奖信息!D634</f>
        <v>0</v>
      </c>
      <c r="E636">
        <f>获奖信息!E634</f>
        <v>0</v>
      </c>
      <c r="F636">
        <f>获奖信息!F634</f>
        <v>0</v>
      </c>
      <c r="G636">
        <f>获奖信息!G634</f>
        <v>0</v>
      </c>
      <c r="H636">
        <f>获奖信息!H634</f>
        <v>0</v>
      </c>
      <c r="I636">
        <f>获奖信息!I634</f>
        <v>0</v>
      </c>
      <c r="J636">
        <f>获奖信息!J634</f>
        <v>0</v>
      </c>
      <c r="K636">
        <f>获奖信息!K634</f>
        <v>0</v>
      </c>
      <c r="L636">
        <f>获奖信息!L634</f>
        <v>0</v>
      </c>
      <c r="M636">
        <f>获奖信息!M634</f>
        <v>0</v>
      </c>
      <c r="N636">
        <f>获奖信息!N634</f>
        <v>0</v>
      </c>
      <c r="O636">
        <f>获奖信息!O634</f>
        <v>0</v>
      </c>
    </row>
    <row r="637" spans="1:15" x14ac:dyDescent="0.2">
      <c r="A637">
        <f>获奖信息!A635</f>
        <v>0</v>
      </c>
      <c r="B637">
        <f>获奖信息!B635</f>
        <v>0</v>
      </c>
      <c r="C637">
        <f>获奖信息!C635</f>
        <v>0</v>
      </c>
      <c r="D637">
        <f>获奖信息!D635</f>
        <v>0</v>
      </c>
      <c r="E637">
        <f>获奖信息!E635</f>
        <v>0</v>
      </c>
      <c r="F637">
        <f>获奖信息!F635</f>
        <v>0</v>
      </c>
      <c r="G637">
        <f>获奖信息!G635</f>
        <v>0</v>
      </c>
      <c r="H637">
        <f>获奖信息!H635</f>
        <v>0</v>
      </c>
      <c r="I637">
        <f>获奖信息!I635</f>
        <v>0</v>
      </c>
      <c r="J637">
        <f>获奖信息!J635</f>
        <v>0</v>
      </c>
      <c r="K637">
        <f>获奖信息!K635</f>
        <v>0</v>
      </c>
      <c r="L637">
        <f>获奖信息!L635</f>
        <v>0</v>
      </c>
      <c r="M637">
        <f>获奖信息!M635</f>
        <v>0</v>
      </c>
      <c r="N637">
        <f>获奖信息!N635</f>
        <v>0</v>
      </c>
      <c r="O637">
        <f>获奖信息!O635</f>
        <v>0</v>
      </c>
    </row>
    <row r="638" spans="1:15" x14ac:dyDescent="0.2">
      <c r="A638">
        <f>获奖信息!A636</f>
        <v>0</v>
      </c>
      <c r="B638">
        <f>获奖信息!B636</f>
        <v>0</v>
      </c>
      <c r="C638">
        <f>获奖信息!C636</f>
        <v>0</v>
      </c>
      <c r="D638">
        <f>获奖信息!D636</f>
        <v>0</v>
      </c>
      <c r="E638">
        <f>获奖信息!E636</f>
        <v>0</v>
      </c>
      <c r="F638">
        <f>获奖信息!F636</f>
        <v>0</v>
      </c>
      <c r="G638">
        <f>获奖信息!G636</f>
        <v>0</v>
      </c>
      <c r="H638">
        <f>获奖信息!H636</f>
        <v>0</v>
      </c>
      <c r="I638">
        <f>获奖信息!I636</f>
        <v>0</v>
      </c>
      <c r="J638">
        <f>获奖信息!J636</f>
        <v>0</v>
      </c>
      <c r="K638">
        <f>获奖信息!K636</f>
        <v>0</v>
      </c>
      <c r="L638">
        <f>获奖信息!L636</f>
        <v>0</v>
      </c>
      <c r="M638">
        <f>获奖信息!M636</f>
        <v>0</v>
      </c>
      <c r="N638">
        <f>获奖信息!N636</f>
        <v>0</v>
      </c>
      <c r="O638">
        <f>获奖信息!O636</f>
        <v>0</v>
      </c>
    </row>
    <row r="639" spans="1:15" x14ac:dyDescent="0.2">
      <c r="A639">
        <f>获奖信息!A637</f>
        <v>0</v>
      </c>
      <c r="B639">
        <f>获奖信息!B637</f>
        <v>0</v>
      </c>
      <c r="C639">
        <f>获奖信息!C637</f>
        <v>0</v>
      </c>
      <c r="D639">
        <f>获奖信息!D637</f>
        <v>0</v>
      </c>
      <c r="E639">
        <f>获奖信息!E637</f>
        <v>0</v>
      </c>
      <c r="F639">
        <f>获奖信息!F637</f>
        <v>0</v>
      </c>
      <c r="G639">
        <f>获奖信息!G637</f>
        <v>0</v>
      </c>
      <c r="H639">
        <f>获奖信息!H637</f>
        <v>0</v>
      </c>
      <c r="I639">
        <f>获奖信息!I637</f>
        <v>0</v>
      </c>
      <c r="J639">
        <f>获奖信息!J637</f>
        <v>0</v>
      </c>
      <c r="K639">
        <f>获奖信息!K637</f>
        <v>0</v>
      </c>
      <c r="L639">
        <f>获奖信息!L637</f>
        <v>0</v>
      </c>
      <c r="M639">
        <f>获奖信息!M637</f>
        <v>0</v>
      </c>
      <c r="N639">
        <f>获奖信息!N637</f>
        <v>0</v>
      </c>
      <c r="O639">
        <f>获奖信息!O637</f>
        <v>0</v>
      </c>
    </row>
    <row r="640" spans="1:15" x14ac:dyDescent="0.2">
      <c r="A640">
        <f>获奖信息!A638</f>
        <v>0</v>
      </c>
      <c r="B640">
        <f>获奖信息!B638</f>
        <v>0</v>
      </c>
      <c r="C640">
        <f>获奖信息!C638</f>
        <v>0</v>
      </c>
      <c r="D640">
        <f>获奖信息!D638</f>
        <v>0</v>
      </c>
      <c r="E640">
        <f>获奖信息!E638</f>
        <v>0</v>
      </c>
      <c r="F640">
        <f>获奖信息!F638</f>
        <v>0</v>
      </c>
      <c r="G640">
        <f>获奖信息!G638</f>
        <v>0</v>
      </c>
      <c r="H640">
        <f>获奖信息!H638</f>
        <v>0</v>
      </c>
      <c r="I640">
        <f>获奖信息!I638</f>
        <v>0</v>
      </c>
      <c r="J640">
        <f>获奖信息!J638</f>
        <v>0</v>
      </c>
      <c r="K640">
        <f>获奖信息!K638</f>
        <v>0</v>
      </c>
      <c r="L640">
        <f>获奖信息!L638</f>
        <v>0</v>
      </c>
      <c r="M640">
        <f>获奖信息!M638</f>
        <v>0</v>
      </c>
      <c r="N640">
        <f>获奖信息!N638</f>
        <v>0</v>
      </c>
      <c r="O640">
        <f>获奖信息!O638</f>
        <v>0</v>
      </c>
    </row>
    <row r="641" spans="1:15" x14ac:dyDescent="0.2">
      <c r="A641">
        <f>获奖信息!A639</f>
        <v>0</v>
      </c>
      <c r="B641">
        <f>获奖信息!B639</f>
        <v>0</v>
      </c>
      <c r="C641">
        <f>获奖信息!C639</f>
        <v>0</v>
      </c>
      <c r="D641">
        <f>获奖信息!D639</f>
        <v>0</v>
      </c>
      <c r="E641">
        <f>获奖信息!E639</f>
        <v>0</v>
      </c>
      <c r="F641">
        <f>获奖信息!F639</f>
        <v>0</v>
      </c>
      <c r="G641">
        <f>获奖信息!G639</f>
        <v>0</v>
      </c>
      <c r="H641">
        <f>获奖信息!H639</f>
        <v>0</v>
      </c>
      <c r="I641">
        <f>获奖信息!I639</f>
        <v>0</v>
      </c>
      <c r="J641">
        <f>获奖信息!J639</f>
        <v>0</v>
      </c>
      <c r="K641">
        <f>获奖信息!K639</f>
        <v>0</v>
      </c>
      <c r="L641">
        <f>获奖信息!L639</f>
        <v>0</v>
      </c>
      <c r="M641">
        <f>获奖信息!M639</f>
        <v>0</v>
      </c>
      <c r="N641">
        <f>获奖信息!N639</f>
        <v>0</v>
      </c>
      <c r="O641">
        <f>获奖信息!O639</f>
        <v>0</v>
      </c>
    </row>
    <row r="642" spans="1:15" x14ac:dyDescent="0.2">
      <c r="A642">
        <f>获奖信息!A640</f>
        <v>0</v>
      </c>
      <c r="B642">
        <f>获奖信息!B640</f>
        <v>0</v>
      </c>
      <c r="C642">
        <f>获奖信息!C640</f>
        <v>0</v>
      </c>
      <c r="D642">
        <f>获奖信息!D640</f>
        <v>0</v>
      </c>
      <c r="E642">
        <f>获奖信息!E640</f>
        <v>0</v>
      </c>
      <c r="F642">
        <f>获奖信息!F640</f>
        <v>0</v>
      </c>
      <c r="G642">
        <f>获奖信息!G640</f>
        <v>0</v>
      </c>
      <c r="H642">
        <f>获奖信息!H640</f>
        <v>0</v>
      </c>
      <c r="I642">
        <f>获奖信息!I640</f>
        <v>0</v>
      </c>
      <c r="J642">
        <f>获奖信息!J640</f>
        <v>0</v>
      </c>
      <c r="K642">
        <f>获奖信息!K640</f>
        <v>0</v>
      </c>
      <c r="L642">
        <f>获奖信息!L640</f>
        <v>0</v>
      </c>
      <c r="M642">
        <f>获奖信息!M640</f>
        <v>0</v>
      </c>
      <c r="N642">
        <f>获奖信息!N640</f>
        <v>0</v>
      </c>
      <c r="O642">
        <f>获奖信息!O640</f>
        <v>0</v>
      </c>
    </row>
    <row r="643" spans="1:15" x14ac:dyDescent="0.2">
      <c r="A643">
        <f>获奖信息!A641</f>
        <v>0</v>
      </c>
      <c r="B643">
        <f>获奖信息!B641</f>
        <v>0</v>
      </c>
      <c r="C643">
        <f>获奖信息!C641</f>
        <v>0</v>
      </c>
      <c r="D643">
        <f>获奖信息!D641</f>
        <v>0</v>
      </c>
      <c r="E643">
        <f>获奖信息!E641</f>
        <v>0</v>
      </c>
      <c r="F643">
        <f>获奖信息!F641</f>
        <v>0</v>
      </c>
      <c r="G643">
        <f>获奖信息!G641</f>
        <v>0</v>
      </c>
      <c r="H643">
        <f>获奖信息!H641</f>
        <v>0</v>
      </c>
      <c r="I643">
        <f>获奖信息!I641</f>
        <v>0</v>
      </c>
      <c r="J643">
        <f>获奖信息!J641</f>
        <v>0</v>
      </c>
      <c r="K643">
        <f>获奖信息!K641</f>
        <v>0</v>
      </c>
      <c r="L643">
        <f>获奖信息!L641</f>
        <v>0</v>
      </c>
      <c r="M643">
        <f>获奖信息!M641</f>
        <v>0</v>
      </c>
      <c r="N643">
        <f>获奖信息!N641</f>
        <v>0</v>
      </c>
      <c r="O643">
        <f>获奖信息!O641</f>
        <v>0</v>
      </c>
    </row>
    <row r="644" spans="1:15" x14ac:dyDescent="0.2">
      <c r="A644">
        <f>获奖信息!A642</f>
        <v>0</v>
      </c>
      <c r="B644">
        <f>获奖信息!B642</f>
        <v>0</v>
      </c>
      <c r="C644">
        <f>获奖信息!C642</f>
        <v>0</v>
      </c>
      <c r="D644">
        <f>获奖信息!D642</f>
        <v>0</v>
      </c>
      <c r="E644">
        <f>获奖信息!E642</f>
        <v>0</v>
      </c>
      <c r="F644">
        <f>获奖信息!F642</f>
        <v>0</v>
      </c>
      <c r="G644">
        <f>获奖信息!G642</f>
        <v>0</v>
      </c>
      <c r="H644">
        <f>获奖信息!H642</f>
        <v>0</v>
      </c>
      <c r="I644">
        <f>获奖信息!I642</f>
        <v>0</v>
      </c>
      <c r="J644">
        <f>获奖信息!J642</f>
        <v>0</v>
      </c>
      <c r="K644">
        <f>获奖信息!K642</f>
        <v>0</v>
      </c>
      <c r="L644">
        <f>获奖信息!L642</f>
        <v>0</v>
      </c>
      <c r="M644">
        <f>获奖信息!M642</f>
        <v>0</v>
      </c>
      <c r="N644">
        <f>获奖信息!N642</f>
        <v>0</v>
      </c>
      <c r="O644">
        <f>获奖信息!O642</f>
        <v>0</v>
      </c>
    </row>
    <row r="645" spans="1:15" x14ac:dyDescent="0.2">
      <c r="A645">
        <f>获奖信息!A643</f>
        <v>0</v>
      </c>
      <c r="B645">
        <f>获奖信息!B643</f>
        <v>0</v>
      </c>
      <c r="C645">
        <f>获奖信息!C643</f>
        <v>0</v>
      </c>
      <c r="D645">
        <f>获奖信息!D643</f>
        <v>0</v>
      </c>
      <c r="E645">
        <f>获奖信息!E643</f>
        <v>0</v>
      </c>
      <c r="F645">
        <f>获奖信息!F643</f>
        <v>0</v>
      </c>
      <c r="G645">
        <f>获奖信息!G643</f>
        <v>0</v>
      </c>
      <c r="H645">
        <f>获奖信息!H643</f>
        <v>0</v>
      </c>
      <c r="I645">
        <f>获奖信息!I643</f>
        <v>0</v>
      </c>
      <c r="J645">
        <f>获奖信息!J643</f>
        <v>0</v>
      </c>
      <c r="K645">
        <f>获奖信息!K643</f>
        <v>0</v>
      </c>
      <c r="L645">
        <f>获奖信息!L643</f>
        <v>0</v>
      </c>
      <c r="M645">
        <f>获奖信息!M643</f>
        <v>0</v>
      </c>
      <c r="N645">
        <f>获奖信息!N643</f>
        <v>0</v>
      </c>
      <c r="O645">
        <f>获奖信息!O643</f>
        <v>0</v>
      </c>
    </row>
    <row r="646" spans="1:15" x14ac:dyDescent="0.2">
      <c r="A646">
        <f>获奖信息!A644</f>
        <v>0</v>
      </c>
      <c r="B646">
        <f>获奖信息!B644</f>
        <v>0</v>
      </c>
      <c r="C646">
        <f>获奖信息!C644</f>
        <v>0</v>
      </c>
      <c r="D646">
        <f>获奖信息!D644</f>
        <v>0</v>
      </c>
      <c r="E646">
        <f>获奖信息!E644</f>
        <v>0</v>
      </c>
      <c r="F646">
        <f>获奖信息!F644</f>
        <v>0</v>
      </c>
      <c r="G646">
        <f>获奖信息!G644</f>
        <v>0</v>
      </c>
      <c r="H646">
        <f>获奖信息!H644</f>
        <v>0</v>
      </c>
      <c r="I646">
        <f>获奖信息!I644</f>
        <v>0</v>
      </c>
      <c r="J646">
        <f>获奖信息!J644</f>
        <v>0</v>
      </c>
      <c r="K646">
        <f>获奖信息!K644</f>
        <v>0</v>
      </c>
      <c r="L646">
        <f>获奖信息!L644</f>
        <v>0</v>
      </c>
      <c r="M646">
        <f>获奖信息!M644</f>
        <v>0</v>
      </c>
      <c r="N646">
        <f>获奖信息!N644</f>
        <v>0</v>
      </c>
      <c r="O646">
        <f>获奖信息!O644</f>
        <v>0</v>
      </c>
    </row>
    <row r="647" spans="1:15" x14ac:dyDescent="0.2">
      <c r="A647">
        <f>获奖信息!A645</f>
        <v>0</v>
      </c>
      <c r="B647">
        <f>获奖信息!B645</f>
        <v>0</v>
      </c>
      <c r="C647">
        <f>获奖信息!C645</f>
        <v>0</v>
      </c>
      <c r="D647">
        <f>获奖信息!D645</f>
        <v>0</v>
      </c>
      <c r="E647">
        <f>获奖信息!E645</f>
        <v>0</v>
      </c>
      <c r="F647">
        <f>获奖信息!F645</f>
        <v>0</v>
      </c>
      <c r="G647">
        <f>获奖信息!G645</f>
        <v>0</v>
      </c>
      <c r="H647">
        <f>获奖信息!H645</f>
        <v>0</v>
      </c>
      <c r="I647">
        <f>获奖信息!I645</f>
        <v>0</v>
      </c>
      <c r="J647">
        <f>获奖信息!J645</f>
        <v>0</v>
      </c>
      <c r="K647">
        <f>获奖信息!K645</f>
        <v>0</v>
      </c>
      <c r="L647">
        <f>获奖信息!L645</f>
        <v>0</v>
      </c>
      <c r="M647">
        <f>获奖信息!M645</f>
        <v>0</v>
      </c>
      <c r="N647">
        <f>获奖信息!N645</f>
        <v>0</v>
      </c>
      <c r="O647">
        <f>获奖信息!O645</f>
        <v>0</v>
      </c>
    </row>
    <row r="648" spans="1:15" x14ac:dyDescent="0.2">
      <c r="A648">
        <f>获奖信息!A646</f>
        <v>0</v>
      </c>
      <c r="B648">
        <f>获奖信息!B646</f>
        <v>0</v>
      </c>
      <c r="C648">
        <f>获奖信息!C646</f>
        <v>0</v>
      </c>
      <c r="D648">
        <f>获奖信息!D646</f>
        <v>0</v>
      </c>
      <c r="E648">
        <f>获奖信息!E646</f>
        <v>0</v>
      </c>
      <c r="F648">
        <f>获奖信息!F646</f>
        <v>0</v>
      </c>
      <c r="G648">
        <f>获奖信息!G646</f>
        <v>0</v>
      </c>
      <c r="H648">
        <f>获奖信息!H646</f>
        <v>0</v>
      </c>
      <c r="I648">
        <f>获奖信息!I646</f>
        <v>0</v>
      </c>
      <c r="J648">
        <f>获奖信息!J646</f>
        <v>0</v>
      </c>
      <c r="K648">
        <f>获奖信息!K646</f>
        <v>0</v>
      </c>
      <c r="L648">
        <f>获奖信息!L646</f>
        <v>0</v>
      </c>
      <c r="M648">
        <f>获奖信息!M646</f>
        <v>0</v>
      </c>
      <c r="N648">
        <f>获奖信息!N646</f>
        <v>0</v>
      </c>
      <c r="O648">
        <f>获奖信息!O646</f>
        <v>0</v>
      </c>
    </row>
    <row r="649" spans="1:15" x14ac:dyDescent="0.2">
      <c r="A649">
        <f>获奖信息!A647</f>
        <v>0</v>
      </c>
      <c r="B649">
        <f>获奖信息!B647</f>
        <v>0</v>
      </c>
      <c r="C649">
        <f>获奖信息!C647</f>
        <v>0</v>
      </c>
      <c r="D649">
        <f>获奖信息!D647</f>
        <v>0</v>
      </c>
      <c r="E649">
        <f>获奖信息!E647</f>
        <v>0</v>
      </c>
      <c r="F649">
        <f>获奖信息!F647</f>
        <v>0</v>
      </c>
      <c r="G649">
        <f>获奖信息!G647</f>
        <v>0</v>
      </c>
      <c r="H649">
        <f>获奖信息!H647</f>
        <v>0</v>
      </c>
      <c r="I649">
        <f>获奖信息!I647</f>
        <v>0</v>
      </c>
      <c r="J649">
        <f>获奖信息!J647</f>
        <v>0</v>
      </c>
      <c r="K649">
        <f>获奖信息!K647</f>
        <v>0</v>
      </c>
      <c r="L649">
        <f>获奖信息!L647</f>
        <v>0</v>
      </c>
      <c r="M649">
        <f>获奖信息!M647</f>
        <v>0</v>
      </c>
      <c r="N649">
        <f>获奖信息!N647</f>
        <v>0</v>
      </c>
      <c r="O649">
        <f>获奖信息!O647</f>
        <v>0</v>
      </c>
    </row>
    <row r="650" spans="1:15" x14ac:dyDescent="0.2">
      <c r="A650">
        <f>获奖信息!A648</f>
        <v>0</v>
      </c>
      <c r="B650">
        <f>获奖信息!B648</f>
        <v>0</v>
      </c>
      <c r="C650">
        <f>获奖信息!C648</f>
        <v>0</v>
      </c>
      <c r="D650">
        <f>获奖信息!D648</f>
        <v>0</v>
      </c>
      <c r="E650">
        <f>获奖信息!E648</f>
        <v>0</v>
      </c>
      <c r="F650">
        <f>获奖信息!F648</f>
        <v>0</v>
      </c>
      <c r="G650">
        <f>获奖信息!G648</f>
        <v>0</v>
      </c>
      <c r="H650">
        <f>获奖信息!H648</f>
        <v>0</v>
      </c>
      <c r="I650">
        <f>获奖信息!I648</f>
        <v>0</v>
      </c>
      <c r="J650">
        <f>获奖信息!J648</f>
        <v>0</v>
      </c>
      <c r="K650">
        <f>获奖信息!K648</f>
        <v>0</v>
      </c>
      <c r="L650">
        <f>获奖信息!L648</f>
        <v>0</v>
      </c>
      <c r="M650">
        <f>获奖信息!M648</f>
        <v>0</v>
      </c>
      <c r="N650">
        <f>获奖信息!N648</f>
        <v>0</v>
      </c>
      <c r="O650">
        <f>获奖信息!O648</f>
        <v>0</v>
      </c>
    </row>
    <row r="651" spans="1:15" x14ac:dyDescent="0.2">
      <c r="A651">
        <f>获奖信息!A649</f>
        <v>0</v>
      </c>
      <c r="B651">
        <f>获奖信息!B649</f>
        <v>0</v>
      </c>
      <c r="C651">
        <f>获奖信息!C649</f>
        <v>0</v>
      </c>
      <c r="D651">
        <f>获奖信息!D649</f>
        <v>0</v>
      </c>
      <c r="E651">
        <f>获奖信息!E649</f>
        <v>0</v>
      </c>
      <c r="F651">
        <f>获奖信息!F649</f>
        <v>0</v>
      </c>
      <c r="G651">
        <f>获奖信息!G649</f>
        <v>0</v>
      </c>
      <c r="H651">
        <f>获奖信息!H649</f>
        <v>0</v>
      </c>
      <c r="I651">
        <f>获奖信息!I649</f>
        <v>0</v>
      </c>
      <c r="J651">
        <f>获奖信息!J649</f>
        <v>0</v>
      </c>
      <c r="K651">
        <f>获奖信息!K649</f>
        <v>0</v>
      </c>
      <c r="L651">
        <f>获奖信息!L649</f>
        <v>0</v>
      </c>
      <c r="M651">
        <f>获奖信息!M649</f>
        <v>0</v>
      </c>
      <c r="N651">
        <f>获奖信息!N649</f>
        <v>0</v>
      </c>
      <c r="O651">
        <f>获奖信息!O649</f>
        <v>0</v>
      </c>
    </row>
    <row r="652" spans="1:15" x14ac:dyDescent="0.2">
      <c r="A652">
        <f>获奖信息!A650</f>
        <v>0</v>
      </c>
      <c r="B652">
        <f>获奖信息!B650</f>
        <v>0</v>
      </c>
      <c r="C652">
        <f>获奖信息!C650</f>
        <v>0</v>
      </c>
      <c r="D652">
        <f>获奖信息!D650</f>
        <v>0</v>
      </c>
      <c r="E652">
        <f>获奖信息!E650</f>
        <v>0</v>
      </c>
      <c r="F652">
        <f>获奖信息!F650</f>
        <v>0</v>
      </c>
      <c r="G652">
        <f>获奖信息!G650</f>
        <v>0</v>
      </c>
      <c r="H652">
        <f>获奖信息!H650</f>
        <v>0</v>
      </c>
      <c r="I652">
        <f>获奖信息!I650</f>
        <v>0</v>
      </c>
      <c r="J652">
        <f>获奖信息!J650</f>
        <v>0</v>
      </c>
      <c r="K652">
        <f>获奖信息!K650</f>
        <v>0</v>
      </c>
      <c r="L652">
        <f>获奖信息!L650</f>
        <v>0</v>
      </c>
      <c r="M652">
        <f>获奖信息!M650</f>
        <v>0</v>
      </c>
      <c r="N652">
        <f>获奖信息!N650</f>
        <v>0</v>
      </c>
      <c r="O652">
        <f>获奖信息!O650</f>
        <v>0</v>
      </c>
    </row>
    <row r="653" spans="1:15" x14ac:dyDescent="0.2">
      <c r="A653">
        <f>获奖信息!A651</f>
        <v>0</v>
      </c>
      <c r="B653">
        <f>获奖信息!B651</f>
        <v>0</v>
      </c>
      <c r="C653">
        <f>获奖信息!C651</f>
        <v>0</v>
      </c>
      <c r="D653">
        <f>获奖信息!D651</f>
        <v>0</v>
      </c>
      <c r="E653">
        <f>获奖信息!E651</f>
        <v>0</v>
      </c>
      <c r="F653">
        <f>获奖信息!F651</f>
        <v>0</v>
      </c>
      <c r="G653">
        <f>获奖信息!G651</f>
        <v>0</v>
      </c>
      <c r="H653">
        <f>获奖信息!H651</f>
        <v>0</v>
      </c>
      <c r="I653">
        <f>获奖信息!I651</f>
        <v>0</v>
      </c>
      <c r="J653">
        <f>获奖信息!J651</f>
        <v>0</v>
      </c>
      <c r="K653">
        <f>获奖信息!K651</f>
        <v>0</v>
      </c>
      <c r="L653">
        <f>获奖信息!L651</f>
        <v>0</v>
      </c>
      <c r="M653">
        <f>获奖信息!M651</f>
        <v>0</v>
      </c>
      <c r="N653">
        <f>获奖信息!N651</f>
        <v>0</v>
      </c>
      <c r="O653">
        <f>获奖信息!O651</f>
        <v>0</v>
      </c>
    </row>
    <row r="654" spans="1:15" x14ac:dyDescent="0.2">
      <c r="A654">
        <f>获奖信息!A652</f>
        <v>0</v>
      </c>
      <c r="B654">
        <f>获奖信息!B652</f>
        <v>0</v>
      </c>
      <c r="C654">
        <f>获奖信息!C652</f>
        <v>0</v>
      </c>
      <c r="D654">
        <f>获奖信息!D652</f>
        <v>0</v>
      </c>
      <c r="E654">
        <f>获奖信息!E652</f>
        <v>0</v>
      </c>
      <c r="F654">
        <f>获奖信息!F652</f>
        <v>0</v>
      </c>
      <c r="G654">
        <f>获奖信息!G652</f>
        <v>0</v>
      </c>
      <c r="H654">
        <f>获奖信息!H652</f>
        <v>0</v>
      </c>
      <c r="I654">
        <f>获奖信息!I652</f>
        <v>0</v>
      </c>
      <c r="J654">
        <f>获奖信息!J652</f>
        <v>0</v>
      </c>
      <c r="K654">
        <f>获奖信息!K652</f>
        <v>0</v>
      </c>
      <c r="L654">
        <f>获奖信息!L652</f>
        <v>0</v>
      </c>
      <c r="M654">
        <f>获奖信息!M652</f>
        <v>0</v>
      </c>
      <c r="N654">
        <f>获奖信息!N652</f>
        <v>0</v>
      </c>
      <c r="O654">
        <f>获奖信息!O652</f>
        <v>0</v>
      </c>
    </row>
    <row r="655" spans="1:15" x14ac:dyDescent="0.2">
      <c r="A655">
        <f>获奖信息!A653</f>
        <v>0</v>
      </c>
      <c r="B655">
        <f>获奖信息!B653</f>
        <v>0</v>
      </c>
      <c r="C655">
        <f>获奖信息!C653</f>
        <v>0</v>
      </c>
      <c r="D655">
        <f>获奖信息!D653</f>
        <v>0</v>
      </c>
      <c r="E655">
        <f>获奖信息!E653</f>
        <v>0</v>
      </c>
      <c r="F655">
        <f>获奖信息!F653</f>
        <v>0</v>
      </c>
      <c r="G655">
        <f>获奖信息!G653</f>
        <v>0</v>
      </c>
      <c r="H655">
        <f>获奖信息!H653</f>
        <v>0</v>
      </c>
      <c r="I655">
        <f>获奖信息!I653</f>
        <v>0</v>
      </c>
      <c r="J655">
        <f>获奖信息!J653</f>
        <v>0</v>
      </c>
      <c r="K655">
        <f>获奖信息!K653</f>
        <v>0</v>
      </c>
      <c r="L655">
        <f>获奖信息!L653</f>
        <v>0</v>
      </c>
      <c r="M655">
        <f>获奖信息!M653</f>
        <v>0</v>
      </c>
      <c r="N655">
        <f>获奖信息!N653</f>
        <v>0</v>
      </c>
      <c r="O655">
        <f>获奖信息!O653</f>
        <v>0</v>
      </c>
    </row>
    <row r="656" spans="1:15" x14ac:dyDescent="0.2">
      <c r="A656">
        <f>获奖信息!A654</f>
        <v>0</v>
      </c>
      <c r="B656">
        <f>获奖信息!B654</f>
        <v>0</v>
      </c>
      <c r="C656">
        <f>获奖信息!C654</f>
        <v>0</v>
      </c>
      <c r="D656">
        <f>获奖信息!D654</f>
        <v>0</v>
      </c>
      <c r="E656">
        <f>获奖信息!E654</f>
        <v>0</v>
      </c>
      <c r="F656">
        <f>获奖信息!F654</f>
        <v>0</v>
      </c>
      <c r="G656">
        <f>获奖信息!G654</f>
        <v>0</v>
      </c>
      <c r="H656">
        <f>获奖信息!H654</f>
        <v>0</v>
      </c>
      <c r="I656">
        <f>获奖信息!I654</f>
        <v>0</v>
      </c>
      <c r="J656">
        <f>获奖信息!J654</f>
        <v>0</v>
      </c>
      <c r="K656">
        <f>获奖信息!K654</f>
        <v>0</v>
      </c>
      <c r="L656">
        <f>获奖信息!L654</f>
        <v>0</v>
      </c>
      <c r="M656">
        <f>获奖信息!M654</f>
        <v>0</v>
      </c>
      <c r="N656">
        <f>获奖信息!N654</f>
        <v>0</v>
      </c>
      <c r="O656">
        <f>获奖信息!O654</f>
        <v>0</v>
      </c>
    </row>
    <row r="657" spans="1:15" x14ac:dyDescent="0.2">
      <c r="A657">
        <f>获奖信息!A655</f>
        <v>0</v>
      </c>
      <c r="B657">
        <f>获奖信息!B655</f>
        <v>0</v>
      </c>
      <c r="C657">
        <f>获奖信息!C655</f>
        <v>0</v>
      </c>
      <c r="D657">
        <f>获奖信息!D655</f>
        <v>0</v>
      </c>
      <c r="E657">
        <f>获奖信息!E655</f>
        <v>0</v>
      </c>
      <c r="F657">
        <f>获奖信息!F655</f>
        <v>0</v>
      </c>
      <c r="G657">
        <f>获奖信息!G655</f>
        <v>0</v>
      </c>
      <c r="H657">
        <f>获奖信息!H655</f>
        <v>0</v>
      </c>
      <c r="I657">
        <f>获奖信息!I655</f>
        <v>0</v>
      </c>
      <c r="J657">
        <f>获奖信息!J655</f>
        <v>0</v>
      </c>
      <c r="K657">
        <f>获奖信息!K655</f>
        <v>0</v>
      </c>
      <c r="L657">
        <f>获奖信息!L655</f>
        <v>0</v>
      </c>
      <c r="M657">
        <f>获奖信息!M655</f>
        <v>0</v>
      </c>
      <c r="N657">
        <f>获奖信息!N655</f>
        <v>0</v>
      </c>
      <c r="O657">
        <f>获奖信息!O655</f>
        <v>0</v>
      </c>
    </row>
    <row r="658" spans="1:15" x14ac:dyDescent="0.2">
      <c r="A658">
        <f>获奖信息!A656</f>
        <v>0</v>
      </c>
      <c r="B658">
        <f>获奖信息!B656</f>
        <v>0</v>
      </c>
      <c r="C658">
        <f>获奖信息!C656</f>
        <v>0</v>
      </c>
      <c r="D658">
        <f>获奖信息!D656</f>
        <v>0</v>
      </c>
      <c r="E658">
        <f>获奖信息!E656</f>
        <v>0</v>
      </c>
      <c r="F658">
        <f>获奖信息!F656</f>
        <v>0</v>
      </c>
      <c r="G658">
        <f>获奖信息!G656</f>
        <v>0</v>
      </c>
      <c r="H658">
        <f>获奖信息!H656</f>
        <v>0</v>
      </c>
      <c r="I658">
        <f>获奖信息!I656</f>
        <v>0</v>
      </c>
      <c r="J658">
        <f>获奖信息!J656</f>
        <v>0</v>
      </c>
      <c r="K658">
        <f>获奖信息!K656</f>
        <v>0</v>
      </c>
      <c r="L658">
        <f>获奖信息!L656</f>
        <v>0</v>
      </c>
      <c r="M658">
        <f>获奖信息!M656</f>
        <v>0</v>
      </c>
      <c r="N658">
        <f>获奖信息!N656</f>
        <v>0</v>
      </c>
      <c r="O658">
        <f>获奖信息!O656</f>
        <v>0</v>
      </c>
    </row>
    <row r="659" spans="1:15" x14ac:dyDescent="0.2">
      <c r="A659">
        <f>获奖信息!A657</f>
        <v>0</v>
      </c>
      <c r="B659">
        <f>获奖信息!B657</f>
        <v>0</v>
      </c>
      <c r="C659">
        <f>获奖信息!C657</f>
        <v>0</v>
      </c>
      <c r="D659">
        <f>获奖信息!D657</f>
        <v>0</v>
      </c>
      <c r="E659">
        <f>获奖信息!E657</f>
        <v>0</v>
      </c>
      <c r="F659">
        <f>获奖信息!F657</f>
        <v>0</v>
      </c>
      <c r="G659">
        <f>获奖信息!G657</f>
        <v>0</v>
      </c>
      <c r="H659">
        <f>获奖信息!H657</f>
        <v>0</v>
      </c>
      <c r="I659">
        <f>获奖信息!I657</f>
        <v>0</v>
      </c>
      <c r="J659">
        <f>获奖信息!J657</f>
        <v>0</v>
      </c>
      <c r="K659">
        <f>获奖信息!K657</f>
        <v>0</v>
      </c>
      <c r="L659">
        <f>获奖信息!L657</f>
        <v>0</v>
      </c>
      <c r="M659">
        <f>获奖信息!M657</f>
        <v>0</v>
      </c>
      <c r="N659">
        <f>获奖信息!N657</f>
        <v>0</v>
      </c>
      <c r="O659">
        <f>获奖信息!O657</f>
        <v>0</v>
      </c>
    </row>
    <row r="660" spans="1:15" x14ac:dyDescent="0.2">
      <c r="A660">
        <f>获奖信息!A658</f>
        <v>0</v>
      </c>
      <c r="B660">
        <f>获奖信息!B658</f>
        <v>0</v>
      </c>
      <c r="C660">
        <f>获奖信息!C658</f>
        <v>0</v>
      </c>
      <c r="D660">
        <f>获奖信息!D658</f>
        <v>0</v>
      </c>
      <c r="E660">
        <f>获奖信息!E658</f>
        <v>0</v>
      </c>
      <c r="F660">
        <f>获奖信息!F658</f>
        <v>0</v>
      </c>
      <c r="G660">
        <f>获奖信息!G658</f>
        <v>0</v>
      </c>
      <c r="H660">
        <f>获奖信息!H658</f>
        <v>0</v>
      </c>
      <c r="I660">
        <f>获奖信息!I658</f>
        <v>0</v>
      </c>
      <c r="J660">
        <f>获奖信息!J658</f>
        <v>0</v>
      </c>
      <c r="K660">
        <f>获奖信息!K658</f>
        <v>0</v>
      </c>
      <c r="L660">
        <f>获奖信息!L658</f>
        <v>0</v>
      </c>
      <c r="M660">
        <f>获奖信息!M658</f>
        <v>0</v>
      </c>
      <c r="N660">
        <f>获奖信息!N658</f>
        <v>0</v>
      </c>
      <c r="O660">
        <f>获奖信息!O658</f>
        <v>0</v>
      </c>
    </row>
    <row r="661" spans="1:15" x14ac:dyDescent="0.2">
      <c r="A661">
        <f>获奖信息!A659</f>
        <v>0</v>
      </c>
      <c r="B661">
        <f>获奖信息!B659</f>
        <v>0</v>
      </c>
      <c r="C661">
        <f>获奖信息!C659</f>
        <v>0</v>
      </c>
      <c r="D661">
        <f>获奖信息!D659</f>
        <v>0</v>
      </c>
      <c r="E661">
        <f>获奖信息!E659</f>
        <v>0</v>
      </c>
      <c r="F661">
        <f>获奖信息!F659</f>
        <v>0</v>
      </c>
      <c r="G661">
        <f>获奖信息!G659</f>
        <v>0</v>
      </c>
      <c r="H661">
        <f>获奖信息!H659</f>
        <v>0</v>
      </c>
      <c r="I661">
        <f>获奖信息!I659</f>
        <v>0</v>
      </c>
      <c r="J661">
        <f>获奖信息!J659</f>
        <v>0</v>
      </c>
      <c r="K661">
        <f>获奖信息!K659</f>
        <v>0</v>
      </c>
      <c r="L661">
        <f>获奖信息!L659</f>
        <v>0</v>
      </c>
      <c r="M661">
        <f>获奖信息!M659</f>
        <v>0</v>
      </c>
      <c r="N661">
        <f>获奖信息!N659</f>
        <v>0</v>
      </c>
      <c r="O661">
        <f>获奖信息!O659</f>
        <v>0</v>
      </c>
    </row>
    <row r="662" spans="1:15" x14ac:dyDescent="0.2">
      <c r="A662">
        <f>获奖信息!A660</f>
        <v>0</v>
      </c>
      <c r="B662">
        <f>获奖信息!B660</f>
        <v>0</v>
      </c>
      <c r="C662">
        <f>获奖信息!C660</f>
        <v>0</v>
      </c>
      <c r="D662">
        <f>获奖信息!D660</f>
        <v>0</v>
      </c>
      <c r="E662">
        <f>获奖信息!E660</f>
        <v>0</v>
      </c>
      <c r="F662">
        <f>获奖信息!F660</f>
        <v>0</v>
      </c>
      <c r="G662">
        <f>获奖信息!G660</f>
        <v>0</v>
      </c>
      <c r="H662">
        <f>获奖信息!H660</f>
        <v>0</v>
      </c>
      <c r="I662">
        <f>获奖信息!I660</f>
        <v>0</v>
      </c>
      <c r="J662">
        <f>获奖信息!J660</f>
        <v>0</v>
      </c>
      <c r="K662">
        <f>获奖信息!K660</f>
        <v>0</v>
      </c>
      <c r="L662">
        <f>获奖信息!L660</f>
        <v>0</v>
      </c>
      <c r="M662">
        <f>获奖信息!M660</f>
        <v>0</v>
      </c>
      <c r="N662">
        <f>获奖信息!N660</f>
        <v>0</v>
      </c>
      <c r="O662">
        <f>获奖信息!O660</f>
        <v>0</v>
      </c>
    </row>
    <row r="663" spans="1:15" x14ac:dyDescent="0.2">
      <c r="A663">
        <f>获奖信息!A661</f>
        <v>0</v>
      </c>
      <c r="B663">
        <f>获奖信息!B661</f>
        <v>0</v>
      </c>
      <c r="C663">
        <f>获奖信息!C661</f>
        <v>0</v>
      </c>
      <c r="D663">
        <f>获奖信息!D661</f>
        <v>0</v>
      </c>
      <c r="E663">
        <f>获奖信息!E661</f>
        <v>0</v>
      </c>
      <c r="F663">
        <f>获奖信息!F661</f>
        <v>0</v>
      </c>
      <c r="G663">
        <f>获奖信息!G661</f>
        <v>0</v>
      </c>
      <c r="H663">
        <f>获奖信息!H661</f>
        <v>0</v>
      </c>
      <c r="I663">
        <f>获奖信息!I661</f>
        <v>0</v>
      </c>
      <c r="J663">
        <f>获奖信息!J661</f>
        <v>0</v>
      </c>
      <c r="K663">
        <f>获奖信息!K661</f>
        <v>0</v>
      </c>
      <c r="L663">
        <f>获奖信息!L661</f>
        <v>0</v>
      </c>
      <c r="M663">
        <f>获奖信息!M661</f>
        <v>0</v>
      </c>
      <c r="N663">
        <f>获奖信息!N661</f>
        <v>0</v>
      </c>
      <c r="O663">
        <f>获奖信息!O661</f>
        <v>0</v>
      </c>
    </row>
    <row r="664" spans="1:15" x14ac:dyDescent="0.2">
      <c r="A664">
        <f>获奖信息!A662</f>
        <v>0</v>
      </c>
      <c r="B664">
        <f>获奖信息!B662</f>
        <v>0</v>
      </c>
      <c r="C664">
        <f>获奖信息!C662</f>
        <v>0</v>
      </c>
      <c r="D664">
        <f>获奖信息!D662</f>
        <v>0</v>
      </c>
      <c r="E664">
        <f>获奖信息!E662</f>
        <v>0</v>
      </c>
      <c r="F664">
        <f>获奖信息!F662</f>
        <v>0</v>
      </c>
      <c r="G664">
        <f>获奖信息!G662</f>
        <v>0</v>
      </c>
      <c r="H664">
        <f>获奖信息!H662</f>
        <v>0</v>
      </c>
      <c r="I664">
        <f>获奖信息!I662</f>
        <v>0</v>
      </c>
      <c r="J664">
        <f>获奖信息!J662</f>
        <v>0</v>
      </c>
      <c r="K664">
        <f>获奖信息!K662</f>
        <v>0</v>
      </c>
      <c r="L664">
        <f>获奖信息!L662</f>
        <v>0</v>
      </c>
      <c r="M664">
        <f>获奖信息!M662</f>
        <v>0</v>
      </c>
      <c r="N664">
        <f>获奖信息!N662</f>
        <v>0</v>
      </c>
      <c r="O664">
        <f>获奖信息!O662</f>
        <v>0</v>
      </c>
    </row>
    <row r="665" spans="1:15" x14ac:dyDescent="0.2">
      <c r="A665">
        <f>获奖信息!A663</f>
        <v>0</v>
      </c>
      <c r="B665">
        <f>获奖信息!B663</f>
        <v>0</v>
      </c>
      <c r="C665">
        <f>获奖信息!C663</f>
        <v>0</v>
      </c>
      <c r="D665">
        <f>获奖信息!D663</f>
        <v>0</v>
      </c>
      <c r="E665">
        <f>获奖信息!E663</f>
        <v>0</v>
      </c>
      <c r="F665">
        <f>获奖信息!F663</f>
        <v>0</v>
      </c>
      <c r="G665">
        <f>获奖信息!G663</f>
        <v>0</v>
      </c>
      <c r="H665">
        <f>获奖信息!H663</f>
        <v>0</v>
      </c>
      <c r="I665">
        <f>获奖信息!I663</f>
        <v>0</v>
      </c>
      <c r="J665">
        <f>获奖信息!J663</f>
        <v>0</v>
      </c>
      <c r="K665">
        <f>获奖信息!K663</f>
        <v>0</v>
      </c>
      <c r="L665">
        <f>获奖信息!L663</f>
        <v>0</v>
      </c>
      <c r="M665">
        <f>获奖信息!M663</f>
        <v>0</v>
      </c>
      <c r="N665">
        <f>获奖信息!N663</f>
        <v>0</v>
      </c>
      <c r="O665">
        <f>获奖信息!O663</f>
        <v>0</v>
      </c>
    </row>
    <row r="666" spans="1:15" x14ac:dyDescent="0.2">
      <c r="A666">
        <f>获奖信息!A664</f>
        <v>0</v>
      </c>
      <c r="B666">
        <f>获奖信息!B664</f>
        <v>0</v>
      </c>
      <c r="C666">
        <f>获奖信息!C664</f>
        <v>0</v>
      </c>
      <c r="D666">
        <f>获奖信息!D664</f>
        <v>0</v>
      </c>
      <c r="E666">
        <f>获奖信息!E664</f>
        <v>0</v>
      </c>
      <c r="F666">
        <f>获奖信息!F664</f>
        <v>0</v>
      </c>
      <c r="G666">
        <f>获奖信息!G664</f>
        <v>0</v>
      </c>
      <c r="H666">
        <f>获奖信息!H664</f>
        <v>0</v>
      </c>
      <c r="I666">
        <f>获奖信息!I664</f>
        <v>0</v>
      </c>
      <c r="J666">
        <f>获奖信息!J664</f>
        <v>0</v>
      </c>
      <c r="K666">
        <f>获奖信息!K664</f>
        <v>0</v>
      </c>
      <c r="L666">
        <f>获奖信息!L664</f>
        <v>0</v>
      </c>
      <c r="M666">
        <f>获奖信息!M664</f>
        <v>0</v>
      </c>
      <c r="N666">
        <f>获奖信息!N664</f>
        <v>0</v>
      </c>
      <c r="O666">
        <f>获奖信息!O664</f>
        <v>0</v>
      </c>
    </row>
    <row r="667" spans="1:15" x14ac:dyDescent="0.2">
      <c r="A667">
        <f>获奖信息!A665</f>
        <v>0</v>
      </c>
      <c r="B667">
        <f>获奖信息!B665</f>
        <v>0</v>
      </c>
      <c r="C667">
        <f>获奖信息!C665</f>
        <v>0</v>
      </c>
      <c r="D667">
        <f>获奖信息!D665</f>
        <v>0</v>
      </c>
      <c r="E667">
        <f>获奖信息!E665</f>
        <v>0</v>
      </c>
      <c r="F667">
        <f>获奖信息!F665</f>
        <v>0</v>
      </c>
      <c r="G667">
        <f>获奖信息!G665</f>
        <v>0</v>
      </c>
      <c r="H667">
        <f>获奖信息!H665</f>
        <v>0</v>
      </c>
      <c r="I667">
        <f>获奖信息!I665</f>
        <v>0</v>
      </c>
      <c r="J667">
        <f>获奖信息!J665</f>
        <v>0</v>
      </c>
      <c r="K667">
        <f>获奖信息!K665</f>
        <v>0</v>
      </c>
      <c r="L667">
        <f>获奖信息!L665</f>
        <v>0</v>
      </c>
      <c r="M667">
        <f>获奖信息!M665</f>
        <v>0</v>
      </c>
      <c r="N667">
        <f>获奖信息!N665</f>
        <v>0</v>
      </c>
      <c r="O667">
        <f>获奖信息!O665</f>
        <v>0</v>
      </c>
    </row>
    <row r="668" spans="1:15" x14ac:dyDescent="0.2">
      <c r="A668">
        <f>获奖信息!A666</f>
        <v>0</v>
      </c>
      <c r="B668">
        <f>获奖信息!B666</f>
        <v>0</v>
      </c>
      <c r="C668">
        <f>获奖信息!C666</f>
        <v>0</v>
      </c>
      <c r="D668">
        <f>获奖信息!D666</f>
        <v>0</v>
      </c>
      <c r="E668">
        <f>获奖信息!E666</f>
        <v>0</v>
      </c>
      <c r="F668">
        <f>获奖信息!F666</f>
        <v>0</v>
      </c>
      <c r="G668">
        <f>获奖信息!G666</f>
        <v>0</v>
      </c>
      <c r="H668">
        <f>获奖信息!H666</f>
        <v>0</v>
      </c>
      <c r="I668">
        <f>获奖信息!I666</f>
        <v>0</v>
      </c>
      <c r="J668">
        <f>获奖信息!J666</f>
        <v>0</v>
      </c>
      <c r="K668">
        <f>获奖信息!K666</f>
        <v>0</v>
      </c>
      <c r="L668">
        <f>获奖信息!L666</f>
        <v>0</v>
      </c>
      <c r="M668">
        <f>获奖信息!M666</f>
        <v>0</v>
      </c>
      <c r="N668">
        <f>获奖信息!N666</f>
        <v>0</v>
      </c>
      <c r="O668">
        <f>获奖信息!O666</f>
        <v>0</v>
      </c>
    </row>
    <row r="669" spans="1:15" x14ac:dyDescent="0.2">
      <c r="A669">
        <f>获奖信息!A667</f>
        <v>0</v>
      </c>
      <c r="B669">
        <f>获奖信息!B667</f>
        <v>0</v>
      </c>
      <c r="C669">
        <f>获奖信息!C667</f>
        <v>0</v>
      </c>
      <c r="D669">
        <f>获奖信息!D667</f>
        <v>0</v>
      </c>
      <c r="E669">
        <f>获奖信息!E667</f>
        <v>0</v>
      </c>
      <c r="F669">
        <f>获奖信息!F667</f>
        <v>0</v>
      </c>
      <c r="G669">
        <f>获奖信息!G667</f>
        <v>0</v>
      </c>
      <c r="H669">
        <f>获奖信息!H667</f>
        <v>0</v>
      </c>
      <c r="I669">
        <f>获奖信息!I667</f>
        <v>0</v>
      </c>
      <c r="J669">
        <f>获奖信息!J667</f>
        <v>0</v>
      </c>
      <c r="K669">
        <f>获奖信息!K667</f>
        <v>0</v>
      </c>
      <c r="L669">
        <f>获奖信息!L667</f>
        <v>0</v>
      </c>
      <c r="M669">
        <f>获奖信息!M667</f>
        <v>0</v>
      </c>
      <c r="N669">
        <f>获奖信息!N667</f>
        <v>0</v>
      </c>
      <c r="O669">
        <f>获奖信息!O667</f>
        <v>0</v>
      </c>
    </row>
    <row r="670" spans="1:15" x14ac:dyDescent="0.2">
      <c r="A670">
        <f>获奖信息!A668</f>
        <v>0</v>
      </c>
      <c r="B670">
        <f>获奖信息!B668</f>
        <v>0</v>
      </c>
      <c r="C670">
        <f>获奖信息!C668</f>
        <v>0</v>
      </c>
      <c r="D670">
        <f>获奖信息!D668</f>
        <v>0</v>
      </c>
      <c r="E670">
        <f>获奖信息!E668</f>
        <v>0</v>
      </c>
      <c r="F670">
        <f>获奖信息!F668</f>
        <v>0</v>
      </c>
      <c r="G670">
        <f>获奖信息!G668</f>
        <v>0</v>
      </c>
      <c r="H670">
        <f>获奖信息!H668</f>
        <v>0</v>
      </c>
      <c r="I670">
        <f>获奖信息!I668</f>
        <v>0</v>
      </c>
      <c r="J670">
        <f>获奖信息!J668</f>
        <v>0</v>
      </c>
      <c r="K670">
        <f>获奖信息!K668</f>
        <v>0</v>
      </c>
      <c r="L670">
        <f>获奖信息!L668</f>
        <v>0</v>
      </c>
      <c r="M670">
        <f>获奖信息!M668</f>
        <v>0</v>
      </c>
      <c r="N670">
        <f>获奖信息!N668</f>
        <v>0</v>
      </c>
      <c r="O670">
        <f>获奖信息!O668</f>
        <v>0</v>
      </c>
    </row>
    <row r="671" spans="1:15" x14ac:dyDescent="0.2">
      <c r="A671">
        <f>获奖信息!A669</f>
        <v>0</v>
      </c>
      <c r="B671">
        <f>获奖信息!B669</f>
        <v>0</v>
      </c>
      <c r="C671">
        <f>获奖信息!C669</f>
        <v>0</v>
      </c>
      <c r="D671">
        <f>获奖信息!D669</f>
        <v>0</v>
      </c>
      <c r="E671">
        <f>获奖信息!E669</f>
        <v>0</v>
      </c>
      <c r="F671">
        <f>获奖信息!F669</f>
        <v>0</v>
      </c>
      <c r="G671">
        <f>获奖信息!G669</f>
        <v>0</v>
      </c>
      <c r="H671">
        <f>获奖信息!H669</f>
        <v>0</v>
      </c>
      <c r="I671">
        <f>获奖信息!I669</f>
        <v>0</v>
      </c>
      <c r="J671">
        <f>获奖信息!J669</f>
        <v>0</v>
      </c>
      <c r="K671">
        <f>获奖信息!K669</f>
        <v>0</v>
      </c>
      <c r="L671">
        <f>获奖信息!L669</f>
        <v>0</v>
      </c>
      <c r="M671">
        <f>获奖信息!M669</f>
        <v>0</v>
      </c>
      <c r="N671">
        <f>获奖信息!N669</f>
        <v>0</v>
      </c>
      <c r="O671">
        <f>获奖信息!O669</f>
        <v>0</v>
      </c>
    </row>
    <row r="672" spans="1:15" x14ac:dyDescent="0.2">
      <c r="A672">
        <f>获奖信息!A670</f>
        <v>0</v>
      </c>
      <c r="B672">
        <f>获奖信息!B670</f>
        <v>0</v>
      </c>
      <c r="C672">
        <f>获奖信息!C670</f>
        <v>0</v>
      </c>
      <c r="D672">
        <f>获奖信息!D670</f>
        <v>0</v>
      </c>
      <c r="E672">
        <f>获奖信息!E670</f>
        <v>0</v>
      </c>
      <c r="F672">
        <f>获奖信息!F670</f>
        <v>0</v>
      </c>
      <c r="G672">
        <f>获奖信息!G670</f>
        <v>0</v>
      </c>
      <c r="H672">
        <f>获奖信息!H670</f>
        <v>0</v>
      </c>
      <c r="I672">
        <f>获奖信息!I670</f>
        <v>0</v>
      </c>
      <c r="J672">
        <f>获奖信息!J670</f>
        <v>0</v>
      </c>
      <c r="K672">
        <f>获奖信息!K670</f>
        <v>0</v>
      </c>
      <c r="L672">
        <f>获奖信息!L670</f>
        <v>0</v>
      </c>
      <c r="M672">
        <f>获奖信息!M670</f>
        <v>0</v>
      </c>
      <c r="N672">
        <f>获奖信息!N670</f>
        <v>0</v>
      </c>
      <c r="O672">
        <f>获奖信息!O670</f>
        <v>0</v>
      </c>
    </row>
    <row r="673" spans="1:15" x14ac:dyDescent="0.2">
      <c r="A673">
        <f>获奖信息!A671</f>
        <v>0</v>
      </c>
      <c r="B673">
        <f>获奖信息!B671</f>
        <v>0</v>
      </c>
      <c r="C673">
        <f>获奖信息!C671</f>
        <v>0</v>
      </c>
      <c r="D673">
        <f>获奖信息!D671</f>
        <v>0</v>
      </c>
      <c r="E673">
        <f>获奖信息!E671</f>
        <v>0</v>
      </c>
      <c r="F673">
        <f>获奖信息!F671</f>
        <v>0</v>
      </c>
      <c r="G673">
        <f>获奖信息!G671</f>
        <v>0</v>
      </c>
      <c r="H673">
        <f>获奖信息!H671</f>
        <v>0</v>
      </c>
      <c r="I673">
        <f>获奖信息!I671</f>
        <v>0</v>
      </c>
      <c r="J673">
        <f>获奖信息!J671</f>
        <v>0</v>
      </c>
      <c r="K673">
        <f>获奖信息!K671</f>
        <v>0</v>
      </c>
      <c r="L673">
        <f>获奖信息!L671</f>
        <v>0</v>
      </c>
      <c r="M673">
        <f>获奖信息!M671</f>
        <v>0</v>
      </c>
      <c r="N673">
        <f>获奖信息!N671</f>
        <v>0</v>
      </c>
      <c r="O673">
        <f>获奖信息!O671</f>
        <v>0</v>
      </c>
    </row>
    <row r="674" spans="1:15" x14ac:dyDescent="0.2">
      <c r="A674">
        <f>获奖信息!A672</f>
        <v>0</v>
      </c>
      <c r="B674">
        <f>获奖信息!B672</f>
        <v>0</v>
      </c>
      <c r="C674">
        <f>获奖信息!C672</f>
        <v>0</v>
      </c>
      <c r="D674">
        <f>获奖信息!D672</f>
        <v>0</v>
      </c>
      <c r="E674">
        <f>获奖信息!E672</f>
        <v>0</v>
      </c>
      <c r="F674">
        <f>获奖信息!F672</f>
        <v>0</v>
      </c>
      <c r="G674">
        <f>获奖信息!G672</f>
        <v>0</v>
      </c>
      <c r="H674">
        <f>获奖信息!H672</f>
        <v>0</v>
      </c>
      <c r="I674">
        <f>获奖信息!I672</f>
        <v>0</v>
      </c>
      <c r="J674">
        <f>获奖信息!J672</f>
        <v>0</v>
      </c>
      <c r="K674">
        <f>获奖信息!K672</f>
        <v>0</v>
      </c>
      <c r="L674">
        <f>获奖信息!L672</f>
        <v>0</v>
      </c>
      <c r="M674">
        <f>获奖信息!M672</f>
        <v>0</v>
      </c>
      <c r="N674">
        <f>获奖信息!N672</f>
        <v>0</v>
      </c>
      <c r="O674">
        <f>获奖信息!O672</f>
        <v>0</v>
      </c>
    </row>
    <row r="675" spans="1:15" x14ac:dyDescent="0.2">
      <c r="A675">
        <f>获奖信息!A673</f>
        <v>0</v>
      </c>
      <c r="B675">
        <f>获奖信息!B673</f>
        <v>0</v>
      </c>
      <c r="C675">
        <f>获奖信息!C673</f>
        <v>0</v>
      </c>
      <c r="D675">
        <f>获奖信息!D673</f>
        <v>0</v>
      </c>
      <c r="E675">
        <f>获奖信息!E673</f>
        <v>0</v>
      </c>
      <c r="F675">
        <f>获奖信息!F673</f>
        <v>0</v>
      </c>
      <c r="G675">
        <f>获奖信息!G673</f>
        <v>0</v>
      </c>
      <c r="H675">
        <f>获奖信息!H673</f>
        <v>0</v>
      </c>
      <c r="I675">
        <f>获奖信息!I673</f>
        <v>0</v>
      </c>
      <c r="J675">
        <f>获奖信息!J673</f>
        <v>0</v>
      </c>
      <c r="K675">
        <f>获奖信息!K673</f>
        <v>0</v>
      </c>
      <c r="L675">
        <f>获奖信息!L673</f>
        <v>0</v>
      </c>
      <c r="M675">
        <f>获奖信息!M673</f>
        <v>0</v>
      </c>
      <c r="N675">
        <f>获奖信息!N673</f>
        <v>0</v>
      </c>
      <c r="O675">
        <f>获奖信息!O673</f>
        <v>0</v>
      </c>
    </row>
    <row r="676" spans="1:15" x14ac:dyDescent="0.2">
      <c r="A676">
        <f>获奖信息!A674</f>
        <v>0</v>
      </c>
      <c r="B676">
        <f>获奖信息!B674</f>
        <v>0</v>
      </c>
      <c r="C676">
        <f>获奖信息!C674</f>
        <v>0</v>
      </c>
      <c r="D676">
        <f>获奖信息!D674</f>
        <v>0</v>
      </c>
      <c r="E676">
        <f>获奖信息!E674</f>
        <v>0</v>
      </c>
      <c r="F676">
        <f>获奖信息!F674</f>
        <v>0</v>
      </c>
      <c r="G676">
        <f>获奖信息!G674</f>
        <v>0</v>
      </c>
      <c r="H676">
        <f>获奖信息!H674</f>
        <v>0</v>
      </c>
      <c r="I676">
        <f>获奖信息!I674</f>
        <v>0</v>
      </c>
      <c r="J676">
        <f>获奖信息!J674</f>
        <v>0</v>
      </c>
      <c r="K676">
        <f>获奖信息!K674</f>
        <v>0</v>
      </c>
      <c r="L676">
        <f>获奖信息!L674</f>
        <v>0</v>
      </c>
      <c r="M676">
        <f>获奖信息!M674</f>
        <v>0</v>
      </c>
      <c r="N676">
        <f>获奖信息!N674</f>
        <v>0</v>
      </c>
      <c r="O676">
        <f>获奖信息!O674</f>
        <v>0</v>
      </c>
    </row>
    <row r="677" spans="1:15" x14ac:dyDescent="0.2">
      <c r="A677">
        <f>获奖信息!A675</f>
        <v>0</v>
      </c>
      <c r="B677">
        <f>获奖信息!B675</f>
        <v>0</v>
      </c>
      <c r="C677">
        <f>获奖信息!C675</f>
        <v>0</v>
      </c>
      <c r="D677">
        <f>获奖信息!D675</f>
        <v>0</v>
      </c>
      <c r="E677">
        <f>获奖信息!E675</f>
        <v>0</v>
      </c>
      <c r="F677">
        <f>获奖信息!F675</f>
        <v>0</v>
      </c>
      <c r="G677">
        <f>获奖信息!G675</f>
        <v>0</v>
      </c>
      <c r="H677">
        <f>获奖信息!H675</f>
        <v>0</v>
      </c>
      <c r="I677">
        <f>获奖信息!I675</f>
        <v>0</v>
      </c>
      <c r="J677">
        <f>获奖信息!J675</f>
        <v>0</v>
      </c>
      <c r="K677">
        <f>获奖信息!K675</f>
        <v>0</v>
      </c>
      <c r="L677">
        <f>获奖信息!L675</f>
        <v>0</v>
      </c>
      <c r="M677">
        <f>获奖信息!M675</f>
        <v>0</v>
      </c>
      <c r="N677">
        <f>获奖信息!N675</f>
        <v>0</v>
      </c>
      <c r="O677">
        <f>获奖信息!O675</f>
        <v>0</v>
      </c>
    </row>
    <row r="678" spans="1:15" x14ac:dyDescent="0.2">
      <c r="A678">
        <f>获奖信息!A676</f>
        <v>0</v>
      </c>
      <c r="B678">
        <f>获奖信息!B676</f>
        <v>0</v>
      </c>
      <c r="C678">
        <f>获奖信息!C676</f>
        <v>0</v>
      </c>
      <c r="D678">
        <f>获奖信息!D676</f>
        <v>0</v>
      </c>
      <c r="E678">
        <f>获奖信息!E676</f>
        <v>0</v>
      </c>
      <c r="F678">
        <f>获奖信息!F676</f>
        <v>0</v>
      </c>
      <c r="G678">
        <f>获奖信息!G676</f>
        <v>0</v>
      </c>
      <c r="H678">
        <f>获奖信息!H676</f>
        <v>0</v>
      </c>
      <c r="I678">
        <f>获奖信息!I676</f>
        <v>0</v>
      </c>
      <c r="J678">
        <f>获奖信息!J676</f>
        <v>0</v>
      </c>
      <c r="K678">
        <f>获奖信息!K676</f>
        <v>0</v>
      </c>
      <c r="L678">
        <f>获奖信息!L676</f>
        <v>0</v>
      </c>
      <c r="M678">
        <f>获奖信息!M676</f>
        <v>0</v>
      </c>
      <c r="N678">
        <f>获奖信息!N676</f>
        <v>0</v>
      </c>
      <c r="O678">
        <f>获奖信息!O676</f>
        <v>0</v>
      </c>
    </row>
    <row r="679" spans="1:15" x14ac:dyDescent="0.2">
      <c r="A679">
        <f>获奖信息!A677</f>
        <v>0</v>
      </c>
      <c r="B679">
        <f>获奖信息!B677</f>
        <v>0</v>
      </c>
      <c r="C679">
        <f>获奖信息!C677</f>
        <v>0</v>
      </c>
      <c r="D679">
        <f>获奖信息!D677</f>
        <v>0</v>
      </c>
      <c r="E679">
        <f>获奖信息!E677</f>
        <v>0</v>
      </c>
      <c r="F679">
        <f>获奖信息!F677</f>
        <v>0</v>
      </c>
      <c r="G679">
        <f>获奖信息!G677</f>
        <v>0</v>
      </c>
      <c r="H679">
        <f>获奖信息!H677</f>
        <v>0</v>
      </c>
      <c r="I679">
        <f>获奖信息!I677</f>
        <v>0</v>
      </c>
      <c r="J679">
        <f>获奖信息!J677</f>
        <v>0</v>
      </c>
      <c r="K679">
        <f>获奖信息!K677</f>
        <v>0</v>
      </c>
      <c r="L679">
        <f>获奖信息!L677</f>
        <v>0</v>
      </c>
      <c r="M679">
        <f>获奖信息!M677</f>
        <v>0</v>
      </c>
      <c r="N679">
        <f>获奖信息!N677</f>
        <v>0</v>
      </c>
      <c r="O679">
        <f>获奖信息!O677</f>
        <v>0</v>
      </c>
    </row>
    <row r="680" spans="1:15" x14ac:dyDescent="0.2">
      <c r="A680">
        <f>获奖信息!A678</f>
        <v>0</v>
      </c>
      <c r="B680">
        <f>获奖信息!B678</f>
        <v>0</v>
      </c>
      <c r="C680">
        <f>获奖信息!C678</f>
        <v>0</v>
      </c>
      <c r="D680">
        <f>获奖信息!D678</f>
        <v>0</v>
      </c>
      <c r="E680">
        <f>获奖信息!E678</f>
        <v>0</v>
      </c>
      <c r="F680">
        <f>获奖信息!F678</f>
        <v>0</v>
      </c>
      <c r="G680">
        <f>获奖信息!G678</f>
        <v>0</v>
      </c>
      <c r="H680">
        <f>获奖信息!H678</f>
        <v>0</v>
      </c>
      <c r="I680">
        <f>获奖信息!I678</f>
        <v>0</v>
      </c>
      <c r="J680">
        <f>获奖信息!J678</f>
        <v>0</v>
      </c>
      <c r="K680">
        <f>获奖信息!K678</f>
        <v>0</v>
      </c>
      <c r="L680">
        <f>获奖信息!L678</f>
        <v>0</v>
      </c>
      <c r="M680">
        <f>获奖信息!M678</f>
        <v>0</v>
      </c>
      <c r="N680">
        <f>获奖信息!N678</f>
        <v>0</v>
      </c>
      <c r="O680">
        <f>获奖信息!O678</f>
        <v>0</v>
      </c>
    </row>
    <row r="681" spans="1:15" x14ac:dyDescent="0.2">
      <c r="A681">
        <f>获奖信息!A679</f>
        <v>0</v>
      </c>
      <c r="B681">
        <f>获奖信息!B679</f>
        <v>0</v>
      </c>
      <c r="C681">
        <f>获奖信息!C679</f>
        <v>0</v>
      </c>
      <c r="D681">
        <f>获奖信息!D679</f>
        <v>0</v>
      </c>
      <c r="E681">
        <f>获奖信息!E679</f>
        <v>0</v>
      </c>
      <c r="F681">
        <f>获奖信息!F679</f>
        <v>0</v>
      </c>
      <c r="G681">
        <f>获奖信息!G679</f>
        <v>0</v>
      </c>
      <c r="H681">
        <f>获奖信息!H679</f>
        <v>0</v>
      </c>
      <c r="I681">
        <f>获奖信息!I679</f>
        <v>0</v>
      </c>
      <c r="J681">
        <f>获奖信息!J679</f>
        <v>0</v>
      </c>
      <c r="K681">
        <f>获奖信息!K679</f>
        <v>0</v>
      </c>
      <c r="L681">
        <f>获奖信息!L679</f>
        <v>0</v>
      </c>
      <c r="M681">
        <f>获奖信息!M679</f>
        <v>0</v>
      </c>
      <c r="N681">
        <f>获奖信息!N679</f>
        <v>0</v>
      </c>
      <c r="O681">
        <f>获奖信息!O679</f>
        <v>0</v>
      </c>
    </row>
    <row r="682" spans="1:15" x14ac:dyDescent="0.2">
      <c r="A682">
        <f>获奖信息!A680</f>
        <v>0</v>
      </c>
      <c r="B682">
        <f>获奖信息!B680</f>
        <v>0</v>
      </c>
      <c r="C682">
        <f>获奖信息!C680</f>
        <v>0</v>
      </c>
      <c r="D682">
        <f>获奖信息!D680</f>
        <v>0</v>
      </c>
      <c r="E682">
        <f>获奖信息!E680</f>
        <v>0</v>
      </c>
      <c r="F682">
        <f>获奖信息!F680</f>
        <v>0</v>
      </c>
      <c r="G682">
        <f>获奖信息!G680</f>
        <v>0</v>
      </c>
      <c r="H682">
        <f>获奖信息!H680</f>
        <v>0</v>
      </c>
      <c r="I682">
        <f>获奖信息!I680</f>
        <v>0</v>
      </c>
      <c r="J682">
        <f>获奖信息!J680</f>
        <v>0</v>
      </c>
      <c r="K682">
        <f>获奖信息!K680</f>
        <v>0</v>
      </c>
      <c r="L682">
        <f>获奖信息!L680</f>
        <v>0</v>
      </c>
      <c r="M682">
        <f>获奖信息!M680</f>
        <v>0</v>
      </c>
      <c r="N682">
        <f>获奖信息!N680</f>
        <v>0</v>
      </c>
      <c r="O682">
        <f>获奖信息!O680</f>
        <v>0</v>
      </c>
    </row>
    <row r="683" spans="1:15" x14ac:dyDescent="0.2">
      <c r="A683">
        <f>获奖信息!A681</f>
        <v>0</v>
      </c>
      <c r="B683">
        <f>获奖信息!B681</f>
        <v>0</v>
      </c>
      <c r="C683">
        <f>获奖信息!C681</f>
        <v>0</v>
      </c>
      <c r="D683">
        <f>获奖信息!D681</f>
        <v>0</v>
      </c>
      <c r="E683">
        <f>获奖信息!E681</f>
        <v>0</v>
      </c>
      <c r="F683">
        <f>获奖信息!F681</f>
        <v>0</v>
      </c>
      <c r="G683">
        <f>获奖信息!G681</f>
        <v>0</v>
      </c>
      <c r="H683">
        <f>获奖信息!H681</f>
        <v>0</v>
      </c>
      <c r="I683">
        <f>获奖信息!I681</f>
        <v>0</v>
      </c>
      <c r="J683">
        <f>获奖信息!J681</f>
        <v>0</v>
      </c>
      <c r="K683">
        <f>获奖信息!K681</f>
        <v>0</v>
      </c>
      <c r="L683">
        <f>获奖信息!L681</f>
        <v>0</v>
      </c>
      <c r="M683">
        <f>获奖信息!M681</f>
        <v>0</v>
      </c>
      <c r="N683">
        <f>获奖信息!N681</f>
        <v>0</v>
      </c>
      <c r="O683">
        <f>获奖信息!O681</f>
        <v>0</v>
      </c>
    </row>
    <row r="684" spans="1:15" x14ac:dyDescent="0.2">
      <c r="A684">
        <f>获奖信息!A682</f>
        <v>0</v>
      </c>
      <c r="B684">
        <f>获奖信息!B682</f>
        <v>0</v>
      </c>
      <c r="C684">
        <f>获奖信息!C682</f>
        <v>0</v>
      </c>
      <c r="D684">
        <f>获奖信息!D682</f>
        <v>0</v>
      </c>
      <c r="E684">
        <f>获奖信息!E682</f>
        <v>0</v>
      </c>
      <c r="F684">
        <f>获奖信息!F682</f>
        <v>0</v>
      </c>
      <c r="G684">
        <f>获奖信息!G682</f>
        <v>0</v>
      </c>
      <c r="H684">
        <f>获奖信息!H682</f>
        <v>0</v>
      </c>
      <c r="I684">
        <f>获奖信息!I682</f>
        <v>0</v>
      </c>
      <c r="J684">
        <f>获奖信息!J682</f>
        <v>0</v>
      </c>
      <c r="K684">
        <f>获奖信息!K682</f>
        <v>0</v>
      </c>
      <c r="L684">
        <f>获奖信息!L682</f>
        <v>0</v>
      </c>
      <c r="M684">
        <f>获奖信息!M682</f>
        <v>0</v>
      </c>
      <c r="N684">
        <f>获奖信息!N682</f>
        <v>0</v>
      </c>
      <c r="O684">
        <f>获奖信息!O682</f>
        <v>0</v>
      </c>
    </row>
    <row r="685" spans="1:15" x14ac:dyDescent="0.2">
      <c r="A685">
        <f>获奖信息!A683</f>
        <v>0</v>
      </c>
      <c r="B685">
        <f>获奖信息!B683</f>
        <v>0</v>
      </c>
      <c r="C685">
        <f>获奖信息!C683</f>
        <v>0</v>
      </c>
      <c r="D685">
        <f>获奖信息!D683</f>
        <v>0</v>
      </c>
      <c r="E685">
        <f>获奖信息!E683</f>
        <v>0</v>
      </c>
      <c r="F685">
        <f>获奖信息!F683</f>
        <v>0</v>
      </c>
      <c r="G685">
        <f>获奖信息!G683</f>
        <v>0</v>
      </c>
      <c r="H685">
        <f>获奖信息!H683</f>
        <v>0</v>
      </c>
      <c r="I685">
        <f>获奖信息!I683</f>
        <v>0</v>
      </c>
      <c r="J685">
        <f>获奖信息!J683</f>
        <v>0</v>
      </c>
      <c r="K685">
        <f>获奖信息!K683</f>
        <v>0</v>
      </c>
      <c r="L685">
        <f>获奖信息!L683</f>
        <v>0</v>
      </c>
      <c r="M685">
        <f>获奖信息!M683</f>
        <v>0</v>
      </c>
      <c r="N685">
        <f>获奖信息!N683</f>
        <v>0</v>
      </c>
      <c r="O685">
        <f>获奖信息!O683</f>
        <v>0</v>
      </c>
    </row>
    <row r="686" spans="1:15" x14ac:dyDescent="0.2">
      <c r="A686">
        <f>获奖信息!A684</f>
        <v>0</v>
      </c>
      <c r="B686">
        <f>获奖信息!B684</f>
        <v>0</v>
      </c>
      <c r="C686">
        <f>获奖信息!C684</f>
        <v>0</v>
      </c>
      <c r="D686">
        <f>获奖信息!D684</f>
        <v>0</v>
      </c>
      <c r="E686">
        <f>获奖信息!E684</f>
        <v>0</v>
      </c>
      <c r="F686">
        <f>获奖信息!F684</f>
        <v>0</v>
      </c>
      <c r="G686">
        <f>获奖信息!G684</f>
        <v>0</v>
      </c>
      <c r="H686">
        <f>获奖信息!H684</f>
        <v>0</v>
      </c>
      <c r="I686">
        <f>获奖信息!I684</f>
        <v>0</v>
      </c>
      <c r="J686">
        <f>获奖信息!J684</f>
        <v>0</v>
      </c>
      <c r="K686">
        <f>获奖信息!K684</f>
        <v>0</v>
      </c>
      <c r="L686">
        <f>获奖信息!L684</f>
        <v>0</v>
      </c>
      <c r="M686">
        <f>获奖信息!M684</f>
        <v>0</v>
      </c>
      <c r="N686">
        <f>获奖信息!N684</f>
        <v>0</v>
      </c>
      <c r="O686">
        <f>获奖信息!O684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8D68-38F8-450C-B946-D6674A953FBD}">
  <dimension ref="A1:G21"/>
  <sheetViews>
    <sheetView workbookViewId="0">
      <selection activeCell="C25" sqref="C25"/>
    </sheetView>
  </sheetViews>
  <sheetFormatPr defaultColWidth="8.875" defaultRowHeight="14.25" x14ac:dyDescent="0.2"/>
  <cols>
    <col min="1" max="1" width="8.875" style="9"/>
    <col min="2" max="2" width="12.75" style="9" bestFit="1" customWidth="1"/>
    <col min="3" max="3" width="33" style="9" bestFit="1" customWidth="1"/>
    <col min="4" max="4" width="6.625" style="9" bestFit="1" customWidth="1"/>
    <col min="5" max="16384" width="8.875" style="9"/>
  </cols>
  <sheetData>
    <row r="1" spans="1:7" x14ac:dyDescent="0.2">
      <c r="A1" s="9" t="s">
        <v>11</v>
      </c>
      <c r="B1" s="9" t="s">
        <v>151</v>
      </c>
      <c r="C1" s="9" t="s">
        <v>146</v>
      </c>
      <c r="D1" s="9" t="s">
        <v>152</v>
      </c>
      <c r="E1" s="9" t="s">
        <v>153</v>
      </c>
      <c r="F1" s="9" t="s">
        <v>145</v>
      </c>
      <c r="G1" s="9" t="s">
        <v>147</v>
      </c>
    </row>
    <row r="2" spans="1:7" x14ac:dyDescent="0.2">
      <c r="A2" s="23" t="s">
        <v>4</v>
      </c>
      <c r="B2" s="23" t="s">
        <v>136</v>
      </c>
      <c r="C2" s="23" t="s">
        <v>133</v>
      </c>
      <c r="D2" s="23" t="s">
        <v>18</v>
      </c>
      <c r="E2" s="23" t="s">
        <v>48</v>
      </c>
      <c r="F2" s="23" t="s">
        <v>144</v>
      </c>
      <c r="G2" s="24">
        <v>4</v>
      </c>
    </row>
    <row r="3" spans="1:7" x14ac:dyDescent="0.2">
      <c r="A3" s="25" t="s">
        <v>1</v>
      </c>
      <c r="B3" s="25" t="s">
        <v>136</v>
      </c>
      <c r="C3" s="25" t="s">
        <v>133</v>
      </c>
      <c r="D3" s="25" t="s">
        <v>19</v>
      </c>
      <c r="E3" s="25" t="s">
        <v>48</v>
      </c>
      <c r="F3" s="25" t="s">
        <v>137</v>
      </c>
      <c r="G3" s="26">
        <v>3</v>
      </c>
    </row>
    <row r="4" spans="1:7" x14ac:dyDescent="0.2">
      <c r="A4" s="23" t="s">
        <v>3</v>
      </c>
      <c r="B4" s="23" t="s">
        <v>136</v>
      </c>
      <c r="C4" s="23" t="s">
        <v>139</v>
      </c>
      <c r="D4" s="23" t="s">
        <v>110</v>
      </c>
      <c r="E4" s="23" t="s">
        <v>48</v>
      </c>
      <c r="F4" s="23" t="s">
        <v>138</v>
      </c>
      <c r="G4" s="24">
        <v>3</v>
      </c>
    </row>
    <row r="5" spans="1:7" x14ac:dyDescent="0.2">
      <c r="A5" s="25" t="s">
        <v>88</v>
      </c>
      <c r="B5" s="25" t="s">
        <v>149</v>
      </c>
      <c r="C5" s="25" t="s">
        <v>148</v>
      </c>
      <c r="D5" s="25" t="s">
        <v>134</v>
      </c>
      <c r="E5" s="25" t="s">
        <v>29</v>
      </c>
      <c r="F5" s="25" t="s">
        <v>128</v>
      </c>
      <c r="G5" s="26">
        <v>2.5</v>
      </c>
    </row>
    <row r="6" spans="1:7" x14ac:dyDescent="0.2">
      <c r="A6" s="23" t="s">
        <v>131</v>
      </c>
      <c r="B6" s="23" t="s">
        <v>149</v>
      </c>
      <c r="C6" s="23" t="s">
        <v>118</v>
      </c>
      <c r="D6" s="23" t="s">
        <v>135</v>
      </c>
      <c r="E6" s="23" t="s">
        <v>29</v>
      </c>
      <c r="F6" s="23" t="s">
        <v>129</v>
      </c>
      <c r="G6" s="24">
        <v>1.5</v>
      </c>
    </row>
    <row r="7" spans="1:7" x14ac:dyDescent="0.2">
      <c r="A7" s="25" t="s">
        <v>88</v>
      </c>
      <c r="B7" s="25" t="s">
        <v>149</v>
      </c>
      <c r="C7" s="25" t="s">
        <v>119</v>
      </c>
      <c r="D7" s="25" t="s">
        <v>134</v>
      </c>
      <c r="E7" s="25" t="s">
        <v>48</v>
      </c>
      <c r="F7" s="25" t="s">
        <v>126</v>
      </c>
      <c r="G7" s="26">
        <v>2</v>
      </c>
    </row>
    <row r="8" spans="1:7" x14ac:dyDescent="0.2">
      <c r="A8" s="23" t="s">
        <v>88</v>
      </c>
      <c r="B8" s="23" t="s">
        <v>149</v>
      </c>
      <c r="C8" s="23" t="s">
        <v>120</v>
      </c>
      <c r="D8" s="23" t="s">
        <v>135</v>
      </c>
      <c r="E8" s="23" t="s">
        <v>48</v>
      </c>
      <c r="F8" s="23" t="s">
        <v>126</v>
      </c>
      <c r="G8" s="24">
        <v>1</v>
      </c>
    </row>
    <row r="9" spans="1:7" x14ac:dyDescent="0.2">
      <c r="A9" s="25" t="s">
        <v>88</v>
      </c>
      <c r="B9" s="25" t="s">
        <v>149</v>
      </c>
      <c r="C9" s="25" t="s">
        <v>121</v>
      </c>
      <c r="D9" s="25" t="s">
        <v>134</v>
      </c>
      <c r="E9" s="25" t="s">
        <v>48</v>
      </c>
      <c r="F9" s="25" t="s">
        <v>70</v>
      </c>
      <c r="G9" s="26">
        <v>2</v>
      </c>
    </row>
    <row r="10" spans="1:7" x14ac:dyDescent="0.2">
      <c r="A10" s="23" t="s">
        <v>88</v>
      </c>
      <c r="B10" s="23" t="s">
        <v>149</v>
      </c>
      <c r="C10" s="23" t="s">
        <v>122</v>
      </c>
      <c r="D10" s="23" t="s">
        <v>135</v>
      </c>
      <c r="E10" s="23" t="s">
        <v>48</v>
      </c>
      <c r="F10" s="23" t="s">
        <v>70</v>
      </c>
      <c r="G10" s="24">
        <v>1</v>
      </c>
    </row>
    <row r="11" spans="1:7" x14ac:dyDescent="0.2">
      <c r="A11" s="25" t="s">
        <v>55</v>
      </c>
      <c r="B11" s="25" t="s">
        <v>149</v>
      </c>
      <c r="C11" s="25" t="s">
        <v>123</v>
      </c>
      <c r="D11" s="25" t="s">
        <v>135</v>
      </c>
      <c r="E11" s="25" t="s">
        <v>29</v>
      </c>
      <c r="F11" s="25" t="s">
        <v>130</v>
      </c>
      <c r="G11" s="26">
        <v>1.5</v>
      </c>
    </row>
    <row r="12" spans="1:7" x14ac:dyDescent="0.2">
      <c r="A12" s="23" t="s">
        <v>5</v>
      </c>
      <c r="B12" s="23" t="s">
        <v>149</v>
      </c>
      <c r="C12" s="23" t="s">
        <v>124</v>
      </c>
      <c r="D12" s="23" t="s">
        <v>134</v>
      </c>
      <c r="E12" s="23" t="s">
        <v>48</v>
      </c>
      <c r="F12" s="23" t="s">
        <v>59</v>
      </c>
      <c r="G12" s="24">
        <v>2</v>
      </c>
    </row>
    <row r="13" spans="1:7" x14ac:dyDescent="0.2">
      <c r="A13" s="25" t="s">
        <v>6</v>
      </c>
      <c r="B13" s="25" t="s">
        <v>149</v>
      </c>
      <c r="C13" s="25" t="s">
        <v>125</v>
      </c>
      <c r="D13" s="25" t="s">
        <v>134</v>
      </c>
      <c r="E13" s="25" t="s">
        <v>29</v>
      </c>
      <c r="F13" s="25" t="s">
        <v>127</v>
      </c>
      <c r="G13" s="26">
        <v>2.5</v>
      </c>
    </row>
    <row r="16" spans="1:7" x14ac:dyDescent="0.2">
      <c r="A16" s="23" t="s">
        <v>5</v>
      </c>
      <c r="B16" s="23" t="s">
        <v>149</v>
      </c>
      <c r="C16" s="23" t="s">
        <v>159</v>
      </c>
      <c r="D16" s="23" t="s">
        <v>135</v>
      </c>
      <c r="E16" s="23" t="s">
        <v>29</v>
      </c>
      <c r="F16" s="23" t="s">
        <v>60</v>
      </c>
      <c r="G16" s="24" t="s">
        <v>158</v>
      </c>
    </row>
    <row r="17" spans="1:7" x14ac:dyDescent="0.2">
      <c r="A17" s="25" t="s">
        <v>6</v>
      </c>
      <c r="B17" s="25" t="s">
        <v>149</v>
      </c>
      <c r="C17" s="25" t="s">
        <v>154</v>
      </c>
      <c r="D17" s="25" t="s">
        <v>135</v>
      </c>
      <c r="E17" s="25" t="s">
        <v>48</v>
      </c>
      <c r="F17" s="25" t="s">
        <v>127</v>
      </c>
      <c r="G17" s="26" t="s">
        <v>158</v>
      </c>
    </row>
    <row r="18" spans="1:7" x14ac:dyDescent="0.2">
      <c r="A18" s="23" t="s">
        <v>6</v>
      </c>
      <c r="B18" s="23" t="s">
        <v>149</v>
      </c>
      <c r="C18" s="23" t="s">
        <v>155</v>
      </c>
      <c r="D18" s="23" t="s">
        <v>135</v>
      </c>
      <c r="E18" s="23" t="s">
        <v>48</v>
      </c>
      <c r="F18" s="23" t="s">
        <v>127</v>
      </c>
      <c r="G18" s="24" t="s">
        <v>158</v>
      </c>
    </row>
    <row r="19" spans="1:7" x14ac:dyDescent="0.2">
      <c r="A19" s="25" t="s">
        <v>6</v>
      </c>
      <c r="B19" s="25" t="s">
        <v>149</v>
      </c>
      <c r="C19" s="25" t="s">
        <v>156</v>
      </c>
      <c r="D19" s="25" t="s">
        <v>135</v>
      </c>
      <c r="E19" s="25" t="s">
        <v>48</v>
      </c>
      <c r="F19" s="25" t="s">
        <v>127</v>
      </c>
      <c r="G19" s="26" t="s">
        <v>158</v>
      </c>
    </row>
    <row r="20" spans="1:7" x14ac:dyDescent="0.2">
      <c r="A20" s="23" t="s">
        <v>6</v>
      </c>
      <c r="B20" s="23" t="s">
        <v>149</v>
      </c>
      <c r="C20" s="23" t="s">
        <v>157</v>
      </c>
      <c r="D20" s="23" t="s">
        <v>135</v>
      </c>
      <c r="E20" s="23" t="s">
        <v>48</v>
      </c>
      <c r="F20" s="23" t="s">
        <v>127</v>
      </c>
      <c r="G20" s="24" t="s">
        <v>158</v>
      </c>
    </row>
    <row r="21" spans="1:7" x14ac:dyDescent="0.2">
      <c r="A21" s="25" t="s">
        <v>6</v>
      </c>
      <c r="B21" s="25" t="s">
        <v>149</v>
      </c>
      <c r="C21" s="25" t="s">
        <v>160</v>
      </c>
      <c r="D21" s="25" t="s">
        <v>135</v>
      </c>
      <c r="E21" s="25" t="s">
        <v>48</v>
      </c>
      <c r="F21" s="25" t="s">
        <v>161</v>
      </c>
      <c r="G21" s="26" t="s">
        <v>158</v>
      </c>
    </row>
  </sheetData>
  <phoneticPr fontId="1" type="noConversion"/>
  <dataValidations count="2">
    <dataValidation type="list" allowBlank="1" showInputMessage="1" showErrorMessage="1" sqref="E2:E13 E16:E21" xr:uid="{B8A0C9B9-0916-4957-8DE6-F4E336C77DE0}">
      <formula1>"是,否"</formula1>
    </dataValidation>
    <dataValidation type="list" allowBlank="1" showInputMessage="1" showErrorMessage="1" sqref="A5:A13" xr:uid="{51735A66-4E76-430B-B8CC-BC178EE72183}">
      <formula1>"总装科,涂装科,树脂科,焊装科,冲压科,工业工程科,品质保证科,设备动力科,技术科,生产管理科,人事总务科,安技环保科,总经理办公室,党群工作室"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0584B9-952A-4C69-A2C9-1FC70215D484}">
          <x14:formula1>
            <xm:f>OFFSET(积分标准!$C$1, MATCH($D2, 积分标准!$B$2:$B$100, 0), 0, COUNTIF(积分标准!$B$2:$B$100, $D2), 1)</xm:f>
          </x14:formula1>
          <xm:sqref>D2:D13 D16:D21</xm:sqref>
        </x14:dataValidation>
        <x14:dataValidation type="list" allowBlank="1" showInputMessage="1" showErrorMessage="1" xr:uid="{206C350E-7360-4D47-A5A9-994049BED041}">
          <x14:formula1>
            <xm:f>OFFSET(积分标准!$B$2, MATCH(A2, 积分标准!$A$2:$A$100, 0)-1, 0, COUNTIF(积分标准!$A$2:$A$100, A2), 1)</xm:f>
          </x14:formula1>
          <xm:sqref>B2:B13 B16:B21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A82D-66AC-480F-B002-C0166E00C697}">
  <dimension ref="A1:D110"/>
  <sheetViews>
    <sheetView zoomScaleNormal="100" workbookViewId="0">
      <selection sqref="A1:D1"/>
    </sheetView>
  </sheetViews>
  <sheetFormatPr defaultRowHeight="14.25" x14ac:dyDescent="0.2"/>
  <cols>
    <col min="1" max="1" width="10.625" style="9" bestFit="1" customWidth="1"/>
    <col min="2" max="2" width="12.375" style="10" bestFit="1" customWidth="1"/>
    <col min="3" max="3" width="8.5" style="9" bestFit="1" customWidth="1"/>
    <col min="4" max="4" width="7.125" style="9" bestFit="1" customWidth="1"/>
  </cols>
  <sheetData>
    <row r="1" spans="1:4" x14ac:dyDescent="0.2">
      <c r="A1" s="14" t="s">
        <v>93</v>
      </c>
      <c r="B1" s="14" t="s">
        <v>92</v>
      </c>
      <c r="C1" s="15" t="s">
        <v>100</v>
      </c>
      <c r="D1" s="14" t="s">
        <v>114</v>
      </c>
    </row>
    <row r="2" spans="1:4" x14ac:dyDescent="0.2">
      <c r="A2" s="13" t="s">
        <v>128</v>
      </c>
      <c r="B2" s="16" t="s">
        <v>88</v>
      </c>
      <c r="C2" s="12">
        <v>13.5</v>
      </c>
      <c r="D2" s="13">
        <f>IFERROR(_xlfn.RANK.EQ(C2,C:C,0),"并列第"&amp;COUNTIF($D$2:D2,D2)&amp;"位")</f>
        <v>1</v>
      </c>
    </row>
    <row r="3" spans="1:4" x14ac:dyDescent="0.2">
      <c r="A3" s="13" t="s">
        <v>112</v>
      </c>
      <c r="B3" s="16" t="s">
        <v>109</v>
      </c>
      <c r="C3" s="12">
        <v>10</v>
      </c>
      <c r="D3" s="13">
        <f>IFERROR(_xlfn.RANK.EQ(C3,C:C,0),"并列第"&amp;COUNTIF($D$2:D3,D3)&amp;"位")</f>
        <v>2</v>
      </c>
    </row>
    <row r="4" spans="1:4" x14ac:dyDescent="0.2">
      <c r="A4" s="13" t="s">
        <v>126</v>
      </c>
      <c r="B4" s="16" t="s">
        <v>88</v>
      </c>
      <c r="C4" s="12">
        <v>9.5</v>
      </c>
      <c r="D4" s="13">
        <f>IFERROR(_xlfn.RANK.EQ(C4,C:C,0),"并列第"&amp;COUNTIF($D$2:D4,D4)&amp;"位")</f>
        <v>3</v>
      </c>
    </row>
    <row r="5" spans="1:4" x14ac:dyDescent="0.2">
      <c r="A5" s="13" t="s">
        <v>65</v>
      </c>
      <c r="B5" s="13" t="s">
        <v>55</v>
      </c>
      <c r="C5" s="12">
        <v>7.35</v>
      </c>
      <c r="D5" s="13">
        <f>IFERROR(_xlfn.RANK.EQ(C5,C:C,0),"并列第"&amp;COUNTIF($D$2:D5,D5)&amp;"位")</f>
        <v>4</v>
      </c>
    </row>
    <row r="6" spans="1:4" x14ac:dyDescent="0.2">
      <c r="A6" s="13" t="s">
        <v>70</v>
      </c>
      <c r="B6" s="13" t="s">
        <v>88</v>
      </c>
      <c r="C6" s="12">
        <v>6.75</v>
      </c>
      <c r="D6" s="13">
        <f>IFERROR(_xlfn.RANK.EQ(C6,C:C,0),"并列第"&amp;COUNTIF($D$2:D6,D6)&amp;"位")</f>
        <v>5</v>
      </c>
    </row>
    <row r="7" spans="1:4" x14ac:dyDescent="0.2">
      <c r="A7" s="13" t="s">
        <v>63</v>
      </c>
      <c r="B7" s="16" t="s">
        <v>212</v>
      </c>
      <c r="C7" s="12">
        <v>6.1</v>
      </c>
      <c r="D7" s="13">
        <f>IFERROR(_xlfn.RANK.EQ(C7,C:C,0),"并列第"&amp;COUNTIF($D$2:D7,D7)&amp;"位")</f>
        <v>6</v>
      </c>
    </row>
    <row r="8" spans="1:4" x14ac:dyDescent="0.2">
      <c r="A8" s="13" t="s">
        <v>289</v>
      </c>
      <c r="B8" s="16" t="s">
        <v>140</v>
      </c>
      <c r="C8" s="12">
        <v>6</v>
      </c>
      <c r="D8" s="13">
        <f>IFERROR(_xlfn.RANK.EQ(C8,C:C,0),"并列第"&amp;COUNTIF($D$2:D8,D8)&amp;"位")</f>
        <v>7</v>
      </c>
    </row>
    <row r="9" spans="1:4" x14ac:dyDescent="0.2">
      <c r="A9" s="13" t="s">
        <v>127</v>
      </c>
      <c r="B9" s="16" t="s">
        <v>216</v>
      </c>
      <c r="C9" s="12">
        <v>5.5</v>
      </c>
      <c r="D9" s="13">
        <f>IFERROR(_xlfn.RANK.EQ(C9,C:C,0),"并列第"&amp;COUNTIF($D$2:D9,D9)&amp;"位")</f>
        <v>8</v>
      </c>
    </row>
    <row r="10" spans="1:4" x14ac:dyDescent="0.2">
      <c r="A10" s="13" t="s">
        <v>342</v>
      </c>
      <c r="B10" s="16" t="s">
        <v>216</v>
      </c>
      <c r="C10" s="12">
        <v>5.5</v>
      </c>
      <c r="D10" s="13">
        <f>IFERROR(_xlfn.RANK.EQ(C10,C:C,0),"并列第"&amp;COUNTIF($D$2:D10,D10)&amp;"位")</f>
        <v>8</v>
      </c>
    </row>
    <row r="11" spans="1:4" x14ac:dyDescent="0.2">
      <c r="A11" s="13" t="s">
        <v>59</v>
      </c>
      <c r="B11" s="13" t="s">
        <v>86</v>
      </c>
      <c r="C11" s="12">
        <v>4.8333333333333339</v>
      </c>
      <c r="D11" s="13">
        <f>IFERROR(_xlfn.RANK.EQ(C11,C:C,0),"并列第"&amp;COUNTIF($D$2:D11,D11)&amp;"位")</f>
        <v>10</v>
      </c>
    </row>
    <row r="12" spans="1:4" x14ac:dyDescent="0.2">
      <c r="A12" s="13" t="s">
        <v>77</v>
      </c>
      <c r="B12" s="13" t="s">
        <v>52</v>
      </c>
      <c r="C12" s="12">
        <v>4.8</v>
      </c>
      <c r="D12" s="13">
        <f>IFERROR(_xlfn.RANK.EQ(C12,C:C,0),"并列第"&amp;COUNTIF($D$2:D12,D12)&amp;"位")</f>
        <v>11</v>
      </c>
    </row>
    <row r="13" spans="1:4" x14ac:dyDescent="0.2">
      <c r="A13" s="13" t="s">
        <v>201</v>
      </c>
      <c r="B13" s="16" t="s">
        <v>214</v>
      </c>
      <c r="C13" s="12">
        <v>4.5</v>
      </c>
      <c r="D13" s="13">
        <f>IFERROR(_xlfn.RANK.EQ(C13,C:C,0),"并列第"&amp;COUNTIF($D$2:D13,D13)&amp;"位")</f>
        <v>12</v>
      </c>
    </row>
    <row r="14" spans="1:4" x14ac:dyDescent="0.2">
      <c r="A14" s="13" t="s">
        <v>300</v>
      </c>
      <c r="B14" s="16" t="s">
        <v>52</v>
      </c>
      <c r="C14" s="12">
        <v>4.5</v>
      </c>
      <c r="D14" s="13">
        <f>IFERROR(_xlfn.RANK.EQ(C14,C:C,0),"并列第"&amp;COUNTIF($D$2:D14,D14)&amp;"位")</f>
        <v>12</v>
      </c>
    </row>
    <row r="15" spans="1:4" x14ac:dyDescent="0.2">
      <c r="A15" s="13" t="s">
        <v>89</v>
      </c>
      <c r="B15" s="13" t="s">
        <v>87</v>
      </c>
      <c r="C15" s="12">
        <v>4.5</v>
      </c>
      <c r="D15" s="13">
        <f>IFERROR(_xlfn.RANK.EQ(C15,C:C,0),"并列第"&amp;COUNTIF($D$2:D15,D15)&amp;"位")</f>
        <v>12</v>
      </c>
    </row>
    <row r="16" spans="1:4" x14ac:dyDescent="0.2">
      <c r="A16" s="13" t="s">
        <v>319</v>
      </c>
      <c r="B16" s="16" t="s">
        <v>55</v>
      </c>
      <c r="C16" s="12">
        <v>4.5</v>
      </c>
      <c r="D16" s="13">
        <f>IFERROR(_xlfn.RANK.EQ(C16,C:C,0),"并列第"&amp;COUNTIF($D$2:D16,D16)&amp;"位")</f>
        <v>12</v>
      </c>
    </row>
    <row r="17" spans="1:4" x14ac:dyDescent="0.2">
      <c r="A17" s="13" t="s">
        <v>72</v>
      </c>
      <c r="B17" s="13" t="s">
        <v>88</v>
      </c>
      <c r="C17" s="12">
        <v>4.25</v>
      </c>
      <c r="D17" s="13">
        <f>IFERROR(_xlfn.RANK.EQ(C17,C:C,0),"并列第"&amp;COUNTIF($D$2:D17,D17)&amp;"位")</f>
        <v>16</v>
      </c>
    </row>
    <row r="18" spans="1:4" x14ac:dyDescent="0.2">
      <c r="A18" s="13" t="s">
        <v>306</v>
      </c>
      <c r="B18" s="16" t="s">
        <v>55</v>
      </c>
      <c r="C18" s="12">
        <v>4</v>
      </c>
      <c r="D18" s="13">
        <f>IFERROR(_xlfn.RANK.EQ(C18,C:C,0),"并列第"&amp;COUNTIF($D$2:D18,D18)&amp;"位")</f>
        <v>17</v>
      </c>
    </row>
    <row r="19" spans="1:4" x14ac:dyDescent="0.2">
      <c r="A19" s="13" t="s">
        <v>141</v>
      </c>
      <c r="B19" s="16" t="s">
        <v>55</v>
      </c>
      <c r="C19" s="12">
        <v>4</v>
      </c>
      <c r="D19" s="13">
        <f>IFERROR(_xlfn.RANK.EQ(C19,C:C,0),"并列第"&amp;COUNTIF($D$2:D19,D19)&amp;"位")</f>
        <v>17</v>
      </c>
    </row>
    <row r="20" spans="1:4" x14ac:dyDescent="0.2">
      <c r="A20" s="13" t="s">
        <v>330</v>
      </c>
      <c r="B20" s="16" t="s">
        <v>88</v>
      </c>
      <c r="C20" s="12">
        <v>4</v>
      </c>
      <c r="D20" s="13">
        <f>IFERROR(_xlfn.RANK.EQ(C20,C:C,0),"并列第"&amp;COUNTIF($D$2:D20,D20)&amp;"位")</f>
        <v>17</v>
      </c>
    </row>
    <row r="21" spans="1:4" x14ac:dyDescent="0.2">
      <c r="A21" s="13" t="s">
        <v>222</v>
      </c>
      <c r="B21" s="16" t="s">
        <v>55</v>
      </c>
      <c r="C21" s="12">
        <v>4</v>
      </c>
      <c r="D21" s="13">
        <f>IFERROR(_xlfn.RANK.EQ(C21,C:C,0),"并列第"&amp;COUNTIF($D$2:D21,D21)&amp;"位")</f>
        <v>17</v>
      </c>
    </row>
    <row r="22" spans="1:4" x14ac:dyDescent="0.2">
      <c r="A22" s="13" t="s">
        <v>143</v>
      </c>
      <c r="B22" s="16" t="s">
        <v>140</v>
      </c>
      <c r="C22" s="12">
        <v>4</v>
      </c>
      <c r="D22" s="13">
        <f>IFERROR(_xlfn.RANK.EQ(C22,C:C,0),"并列第"&amp;COUNTIF($D$2:D22,D22)&amp;"位")</f>
        <v>17</v>
      </c>
    </row>
    <row r="23" spans="1:4" x14ac:dyDescent="0.2">
      <c r="A23" s="13" t="s">
        <v>323</v>
      </c>
      <c r="B23" s="16" t="s">
        <v>109</v>
      </c>
      <c r="C23" s="12">
        <v>3.5</v>
      </c>
      <c r="D23" s="13">
        <f>IFERROR(_xlfn.RANK.EQ(C23,C:C,0),"并列第"&amp;COUNTIF($D$2:D23,D23)&amp;"位")</f>
        <v>22</v>
      </c>
    </row>
    <row r="24" spans="1:4" x14ac:dyDescent="0.2">
      <c r="A24" s="13" t="s">
        <v>188</v>
      </c>
      <c r="B24" s="16" t="s">
        <v>52</v>
      </c>
      <c r="C24" s="12">
        <v>3.5</v>
      </c>
      <c r="D24" s="13">
        <f>IFERROR(_xlfn.RANK.EQ(C24,C:C,0),"并列第"&amp;COUNTIF($D$2:D24,D24)&amp;"位")</f>
        <v>22</v>
      </c>
    </row>
    <row r="25" spans="1:4" x14ac:dyDescent="0.2">
      <c r="A25" s="13" t="s">
        <v>129</v>
      </c>
      <c r="B25" s="16" t="s">
        <v>214</v>
      </c>
      <c r="C25" s="12">
        <v>3.5</v>
      </c>
      <c r="D25" s="13">
        <f>IFERROR(_xlfn.RANK.EQ(C25,C:C,0),"并列第"&amp;COUNTIF($D$2:D25,D25)&amp;"位")</f>
        <v>22</v>
      </c>
    </row>
    <row r="26" spans="1:4" x14ac:dyDescent="0.2">
      <c r="A26" s="13" t="s">
        <v>315</v>
      </c>
      <c r="B26" s="16" t="s">
        <v>55</v>
      </c>
      <c r="C26" s="12">
        <v>3.5</v>
      </c>
      <c r="D26" s="13">
        <f>IFERROR(_xlfn.RANK.EQ(C26,C:C,0),"并列第"&amp;COUNTIF($D$2:D26,D26)&amp;"位")</f>
        <v>22</v>
      </c>
    </row>
    <row r="27" spans="1:4" x14ac:dyDescent="0.2">
      <c r="A27" s="13" t="s">
        <v>83</v>
      </c>
      <c r="B27" s="13" t="s">
        <v>87</v>
      </c>
      <c r="C27" s="12">
        <v>3.1</v>
      </c>
      <c r="D27" s="13">
        <f>IFERROR(_xlfn.RANK.EQ(C27,C:C,0),"并列第"&amp;COUNTIF($D$2:D27,D27)&amp;"位")</f>
        <v>26</v>
      </c>
    </row>
    <row r="28" spans="1:4" x14ac:dyDescent="0.2">
      <c r="A28" s="13" t="s">
        <v>399</v>
      </c>
      <c r="B28" s="16" t="s">
        <v>88</v>
      </c>
      <c r="C28" s="12">
        <v>3</v>
      </c>
      <c r="D28" s="13">
        <f>IFERROR(_xlfn.RANK.EQ(C28,C:C,0),"并列第"&amp;COUNTIF($D$2:D28,D28)&amp;"位")</f>
        <v>27</v>
      </c>
    </row>
    <row r="29" spans="1:4" x14ac:dyDescent="0.2">
      <c r="A29" s="13" t="s">
        <v>298</v>
      </c>
      <c r="B29" s="16" t="s">
        <v>88</v>
      </c>
      <c r="C29" s="12">
        <v>3</v>
      </c>
      <c r="D29" s="13">
        <f>IFERROR(_xlfn.RANK.EQ(C29,C:C,0),"并列第"&amp;COUNTIF($D$2:D29,D29)&amp;"位")</f>
        <v>27</v>
      </c>
    </row>
    <row r="30" spans="1:4" x14ac:dyDescent="0.2">
      <c r="A30" s="13" t="s">
        <v>190</v>
      </c>
      <c r="B30" s="16" t="s">
        <v>55</v>
      </c>
      <c r="C30" s="12">
        <v>3</v>
      </c>
      <c r="D30" s="13">
        <f>IFERROR(_xlfn.RANK.EQ(C30,C:C,0),"并列第"&amp;COUNTIF($D$2:D30,D30)&amp;"位")</f>
        <v>27</v>
      </c>
    </row>
    <row r="31" spans="1:4" x14ac:dyDescent="0.2">
      <c r="A31" s="13" t="s">
        <v>84</v>
      </c>
      <c r="B31" s="16" t="s">
        <v>140</v>
      </c>
      <c r="C31" s="12">
        <v>2.5750000000000002</v>
      </c>
      <c r="D31" s="13">
        <f>IFERROR(_xlfn.RANK.EQ(C31,C:C,0),"并列第"&amp;COUNTIF($D$2:D31,D31)&amp;"位")</f>
        <v>30</v>
      </c>
    </row>
    <row r="32" spans="1:4" x14ac:dyDescent="0.2">
      <c r="A32" s="13" t="s">
        <v>534</v>
      </c>
      <c r="B32" s="16" t="s">
        <v>52</v>
      </c>
      <c r="C32" s="12">
        <v>2.5</v>
      </c>
      <c r="D32" s="13">
        <f>IFERROR(_xlfn.RANK.EQ(C32,C:C,0),"并列第"&amp;COUNTIF($D$2:D32,D32)&amp;"位")</f>
        <v>31</v>
      </c>
    </row>
    <row r="33" spans="1:4" x14ac:dyDescent="0.2">
      <c r="A33" s="13" t="s">
        <v>142</v>
      </c>
      <c r="B33" s="16" t="s">
        <v>55</v>
      </c>
      <c r="C33" s="12">
        <v>2.5</v>
      </c>
      <c r="D33" s="13">
        <f>IFERROR(_xlfn.RANK.EQ(C33,C:C,0),"并列第"&amp;COUNTIF($D$2:D33,D33)&amp;"位")</f>
        <v>31</v>
      </c>
    </row>
    <row r="34" spans="1:4" x14ac:dyDescent="0.2">
      <c r="A34" s="13" t="s">
        <v>332</v>
      </c>
      <c r="B34" s="16" t="s">
        <v>140</v>
      </c>
      <c r="C34" s="12">
        <v>2.5</v>
      </c>
      <c r="D34" s="13">
        <f>IFERROR(_xlfn.RANK.EQ(C34,C:C,0),"并列第"&amp;COUNTIF($D$2:D34,D34)&amp;"位")</f>
        <v>31</v>
      </c>
    </row>
    <row r="35" spans="1:4" x14ac:dyDescent="0.2">
      <c r="A35" s="13" t="s">
        <v>106</v>
      </c>
      <c r="B35" s="16" t="s">
        <v>52</v>
      </c>
      <c r="C35" s="12">
        <v>2.5</v>
      </c>
      <c r="D35" s="13">
        <f>IFERROR(_xlfn.RANK.EQ(C35,C:C,0),"并列第"&amp;COUNTIF($D$2:D35,D35)&amp;"位")</f>
        <v>31</v>
      </c>
    </row>
    <row r="36" spans="1:4" x14ac:dyDescent="0.2">
      <c r="A36" s="13" t="s">
        <v>327</v>
      </c>
      <c r="B36" s="16" t="s">
        <v>55</v>
      </c>
      <c r="C36" s="12">
        <v>2.5</v>
      </c>
      <c r="D36" s="13">
        <f>IFERROR(_xlfn.RANK.EQ(C36,C:C,0),"并列第"&amp;COUNTIF($D$2:D36,D36)&amp;"位")</f>
        <v>31</v>
      </c>
    </row>
    <row r="37" spans="1:4" x14ac:dyDescent="0.2">
      <c r="A37" s="13" t="s">
        <v>60</v>
      </c>
      <c r="B37" s="13" t="s">
        <v>86</v>
      </c>
      <c r="C37" s="12">
        <v>2.333333333333333</v>
      </c>
      <c r="D37" s="13">
        <f>IFERROR(_xlfn.RANK.EQ(C37,C:C,0),"并列第"&amp;COUNTIF($D$2:D37,D37)&amp;"位")</f>
        <v>36</v>
      </c>
    </row>
    <row r="38" spans="1:4" x14ac:dyDescent="0.2">
      <c r="A38" s="13" t="s">
        <v>62</v>
      </c>
      <c r="B38" s="16" t="s">
        <v>212</v>
      </c>
      <c r="C38" s="12">
        <v>2.1</v>
      </c>
      <c r="D38" s="13">
        <f>IFERROR(_xlfn.RANK.EQ(C38,C:C,0),"并列第"&amp;COUNTIF($D$2:D38,D38)&amp;"位")</f>
        <v>37</v>
      </c>
    </row>
    <row r="39" spans="1:4" x14ac:dyDescent="0.2">
      <c r="A39" s="13" t="s">
        <v>674</v>
      </c>
      <c r="B39" s="16" t="s">
        <v>88</v>
      </c>
      <c r="C39" s="12">
        <v>2</v>
      </c>
      <c r="D39" s="13">
        <f>IFERROR(_xlfn.RANK.EQ(C39,C:C,0),"并列第"&amp;COUNTIF($D$2:D39,D39)&amp;"位")</f>
        <v>38</v>
      </c>
    </row>
    <row r="40" spans="1:4" x14ac:dyDescent="0.2">
      <c r="A40" s="13" t="s">
        <v>196</v>
      </c>
      <c r="B40" s="16" t="s">
        <v>87</v>
      </c>
      <c r="C40" s="12">
        <v>2</v>
      </c>
      <c r="D40" s="13">
        <f>IFERROR(_xlfn.RANK.EQ(C40,C:C,0),"并列第"&amp;COUNTIF($D$2:D40,D40)&amp;"位")</f>
        <v>38</v>
      </c>
    </row>
    <row r="41" spans="1:4" x14ac:dyDescent="0.2">
      <c r="A41" s="13" t="s">
        <v>440</v>
      </c>
      <c r="B41" s="16" t="s">
        <v>52</v>
      </c>
      <c r="C41" s="12">
        <v>2</v>
      </c>
      <c r="D41" s="13">
        <f>IFERROR(_xlfn.RANK.EQ(C41,C:C,0),"并列第"&amp;COUNTIF($D$2:D41,D41)&amp;"位")</f>
        <v>38</v>
      </c>
    </row>
    <row r="42" spans="1:4" x14ac:dyDescent="0.2">
      <c r="A42" s="13" t="s">
        <v>90</v>
      </c>
      <c r="B42" s="16" t="s">
        <v>52</v>
      </c>
      <c r="C42" s="12">
        <v>2</v>
      </c>
      <c r="D42" s="13">
        <f>IFERROR(_xlfn.RANK.EQ(C42,C:C,0),"并列第"&amp;COUNTIF($D$2:D42,D42)&amp;"位")</f>
        <v>38</v>
      </c>
    </row>
    <row r="43" spans="1:4" x14ac:dyDescent="0.2">
      <c r="A43" s="13" t="s">
        <v>68</v>
      </c>
      <c r="B43" s="13" t="s">
        <v>55</v>
      </c>
      <c r="C43" s="12">
        <v>1.85</v>
      </c>
      <c r="D43" s="13">
        <f>IFERROR(_xlfn.RANK.EQ(C43,C:C,0),"并列第"&amp;COUNTIF($D$2:D43,D43)&amp;"位")</f>
        <v>42</v>
      </c>
    </row>
    <row r="44" spans="1:4" x14ac:dyDescent="0.2">
      <c r="A44" s="13" t="s">
        <v>56</v>
      </c>
      <c r="B44" s="16" t="s">
        <v>52</v>
      </c>
      <c r="C44" s="12">
        <v>1.5</v>
      </c>
      <c r="D44" s="13">
        <f>IFERROR(_xlfn.RANK.EQ(C44,C:C,0),"并列第"&amp;COUNTIF($D$2:D44,D44)&amp;"位")</f>
        <v>44</v>
      </c>
    </row>
    <row r="45" spans="1:4" x14ac:dyDescent="0.2">
      <c r="A45" s="13"/>
      <c r="B45" s="13" t="s">
        <v>86</v>
      </c>
      <c r="C45" s="12">
        <v>0.33333333333333331</v>
      </c>
    </row>
    <row r="46" spans="1:4" x14ac:dyDescent="0.2">
      <c r="A46" s="13" t="s">
        <v>57</v>
      </c>
      <c r="B46" s="13" t="s">
        <v>86</v>
      </c>
      <c r="C46" s="12">
        <v>1.8333333333333333</v>
      </c>
    </row>
    <row r="47" spans="1:4" x14ac:dyDescent="0.2">
      <c r="A47" s="13" t="s">
        <v>314</v>
      </c>
      <c r="B47" s="16" t="s">
        <v>140</v>
      </c>
      <c r="C47" s="12">
        <v>1.5</v>
      </c>
    </row>
    <row r="48" spans="1:4" x14ac:dyDescent="0.2">
      <c r="A48" s="13" t="s">
        <v>288</v>
      </c>
      <c r="B48" s="16" t="s">
        <v>140</v>
      </c>
      <c r="C48" s="12">
        <v>1.5</v>
      </c>
    </row>
    <row r="49" spans="1:3" x14ac:dyDescent="0.2">
      <c r="A49" s="13" t="s">
        <v>619</v>
      </c>
      <c r="B49" s="16" t="s">
        <v>52</v>
      </c>
      <c r="C49" s="12">
        <v>1.5</v>
      </c>
    </row>
    <row r="50" spans="1:3" x14ac:dyDescent="0.2">
      <c r="A50" s="13" t="s">
        <v>678</v>
      </c>
      <c r="B50" s="16" t="s">
        <v>214</v>
      </c>
      <c r="C50" s="12">
        <v>1.5</v>
      </c>
    </row>
    <row r="51" spans="1:3" x14ac:dyDescent="0.2">
      <c r="A51" s="13" t="s">
        <v>405</v>
      </c>
      <c r="B51" s="16" t="s">
        <v>55</v>
      </c>
      <c r="C51" s="12">
        <v>1.5</v>
      </c>
    </row>
    <row r="52" spans="1:3" x14ac:dyDescent="0.2">
      <c r="A52" s="13" t="s">
        <v>950</v>
      </c>
      <c r="B52" s="16" t="s">
        <v>87</v>
      </c>
      <c r="C52" s="12">
        <v>1.5</v>
      </c>
    </row>
    <row r="53" spans="1:3" x14ac:dyDescent="0.2">
      <c r="A53" s="13" t="s">
        <v>381</v>
      </c>
      <c r="B53" s="16" t="s">
        <v>87</v>
      </c>
      <c r="C53" s="12">
        <v>1.5</v>
      </c>
    </row>
    <row r="54" spans="1:3" x14ac:dyDescent="0.2">
      <c r="A54" s="13" t="s">
        <v>915</v>
      </c>
      <c r="B54" s="16" t="s">
        <v>214</v>
      </c>
      <c r="C54" s="12">
        <v>1.5</v>
      </c>
    </row>
    <row r="55" spans="1:3" x14ac:dyDescent="0.2">
      <c r="A55" s="13" t="s">
        <v>367</v>
      </c>
      <c r="B55" s="16" t="s">
        <v>55</v>
      </c>
      <c r="C55" s="12">
        <v>1.5</v>
      </c>
    </row>
    <row r="56" spans="1:3" x14ac:dyDescent="0.2">
      <c r="A56" s="13" t="s">
        <v>285</v>
      </c>
      <c r="B56" s="16" t="s">
        <v>140</v>
      </c>
      <c r="C56" s="12">
        <v>1.5</v>
      </c>
    </row>
    <row r="57" spans="1:3" x14ac:dyDescent="0.2">
      <c r="A57" s="13" t="s">
        <v>546</v>
      </c>
      <c r="B57" s="16" t="s">
        <v>212</v>
      </c>
      <c r="C57" s="12">
        <v>1.5</v>
      </c>
    </row>
    <row r="58" spans="1:3" x14ac:dyDescent="0.2">
      <c r="A58" s="13" t="s">
        <v>1031</v>
      </c>
      <c r="B58" s="16" t="s">
        <v>86</v>
      </c>
      <c r="C58" s="12">
        <v>1.5</v>
      </c>
    </row>
    <row r="59" spans="1:3" x14ac:dyDescent="0.2">
      <c r="A59" s="13" t="s">
        <v>822</v>
      </c>
      <c r="B59" s="16" t="s">
        <v>87</v>
      </c>
      <c r="C59" s="12">
        <v>1.5</v>
      </c>
    </row>
    <row r="60" spans="1:3" x14ac:dyDescent="0.2">
      <c r="A60" s="13" t="s">
        <v>283</v>
      </c>
      <c r="B60" s="16" t="s">
        <v>140</v>
      </c>
      <c r="C60" s="12">
        <v>1.5</v>
      </c>
    </row>
    <row r="61" spans="1:3" x14ac:dyDescent="0.2">
      <c r="A61" s="13" t="s">
        <v>344</v>
      </c>
      <c r="B61" s="16" t="s">
        <v>140</v>
      </c>
      <c r="C61" s="12">
        <v>1.5</v>
      </c>
    </row>
    <row r="62" spans="1:3" x14ac:dyDescent="0.2">
      <c r="A62" s="13" t="s">
        <v>753</v>
      </c>
      <c r="B62" s="16" t="s">
        <v>52</v>
      </c>
      <c r="C62" s="12">
        <v>1.5</v>
      </c>
    </row>
    <row r="63" spans="1:3" x14ac:dyDescent="0.2">
      <c r="A63" s="13" t="s">
        <v>732</v>
      </c>
      <c r="B63" s="16" t="s">
        <v>52</v>
      </c>
      <c r="C63" s="12">
        <v>1.5</v>
      </c>
    </row>
    <row r="64" spans="1:3" x14ac:dyDescent="0.2">
      <c r="A64" s="13" t="s">
        <v>183</v>
      </c>
      <c r="B64" s="16" t="s">
        <v>214</v>
      </c>
      <c r="C64" s="12">
        <v>1.5</v>
      </c>
    </row>
    <row r="65" spans="1:3" x14ac:dyDescent="0.2">
      <c r="A65" s="13" t="s">
        <v>1399</v>
      </c>
      <c r="B65" s="16" t="s">
        <v>52</v>
      </c>
      <c r="C65" s="12">
        <v>1.5</v>
      </c>
    </row>
    <row r="66" spans="1:3" x14ac:dyDescent="0.2">
      <c r="A66" s="13" t="s">
        <v>277</v>
      </c>
      <c r="B66" s="16" t="s">
        <v>216</v>
      </c>
      <c r="C66" s="12">
        <v>1.5</v>
      </c>
    </row>
    <row r="67" spans="1:3" x14ac:dyDescent="0.2">
      <c r="A67" s="13" t="s">
        <v>527</v>
      </c>
      <c r="B67" s="16" t="s">
        <v>212</v>
      </c>
      <c r="C67" s="12">
        <v>1.5</v>
      </c>
    </row>
    <row r="68" spans="1:3" x14ac:dyDescent="0.2">
      <c r="A68" s="13" t="s">
        <v>186</v>
      </c>
      <c r="B68" s="16" t="s">
        <v>55</v>
      </c>
      <c r="C68" s="12">
        <v>1.5</v>
      </c>
    </row>
    <row r="69" spans="1:3" x14ac:dyDescent="0.2">
      <c r="A69" s="13" t="s">
        <v>435</v>
      </c>
      <c r="B69" s="16" t="s">
        <v>52</v>
      </c>
      <c r="C69" s="12">
        <v>1.5</v>
      </c>
    </row>
    <row r="70" spans="1:3" x14ac:dyDescent="0.2">
      <c r="A70" s="13" t="s">
        <v>329</v>
      </c>
      <c r="B70" s="16" t="s">
        <v>140</v>
      </c>
      <c r="C70" s="12">
        <v>1.5</v>
      </c>
    </row>
    <row r="71" spans="1:3" x14ac:dyDescent="0.2">
      <c r="A71" s="13" t="s">
        <v>91</v>
      </c>
      <c r="B71" s="16" t="s">
        <v>218</v>
      </c>
      <c r="C71" s="12">
        <v>1.5</v>
      </c>
    </row>
    <row r="72" spans="1:3" x14ac:dyDescent="0.2">
      <c r="A72" s="13" t="s">
        <v>311</v>
      </c>
      <c r="B72" s="16" t="s">
        <v>52</v>
      </c>
      <c r="C72" s="12">
        <v>1.5</v>
      </c>
    </row>
    <row r="73" spans="1:3" x14ac:dyDescent="0.2">
      <c r="A73" s="13" t="s">
        <v>334</v>
      </c>
      <c r="B73" s="16" t="s">
        <v>140</v>
      </c>
      <c r="C73" s="12">
        <v>1.5</v>
      </c>
    </row>
    <row r="74" spans="1:3" x14ac:dyDescent="0.2">
      <c r="A74" s="13" t="s">
        <v>529</v>
      </c>
      <c r="B74" s="16" t="s">
        <v>214</v>
      </c>
      <c r="C74" s="12">
        <v>1.5</v>
      </c>
    </row>
    <row r="75" spans="1:3" x14ac:dyDescent="0.2">
      <c r="A75" s="13" t="s">
        <v>1119</v>
      </c>
      <c r="B75" s="16" t="s">
        <v>216</v>
      </c>
      <c r="C75" s="12">
        <v>1.5</v>
      </c>
    </row>
    <row r="76" spans="1:3" x14ac:dyDescent="0.2">
      <c r="A76" s="13" t="s">
        <v>598</v>
      </c>
      <c r="B76" s="16" t="s">
        <v>52</v>
      </c>
      <c r="C76" s="12">
        <v>1.5</v>
      </c>
    </row>
    <row r="77" spans="1:3" x14ac:dyDescent="0.2">
      <c r="A77" s="13" t="s">
        <v>66</v>
      </c>
      <c r="B77" s="13" t="s">
        <v>55</v>
      </c>
      <c r="C77" s="12">
        <v>1.35</v>
      </c>
    </row>
    <row r="78" spans="1:3" x14ac:dyDescent="0.2">
      <c r="A78" s="13" t="s">
        <v>365</v>
      </c>
      <c r="B78" s="16" t="s">
        <v>55</v>
      </c>
      <c r="C78" s="12">
        <v>1</v>
      </c>
    </row>
    <row r="79" spans="1:3" x14ac:dyDescent="0.2">
      <c r="A79" s="13" t="s">
        <v>346</v>
      </c>
      <c r="B79" s="16" t="s">
        <v>109</v>
      </c>
      <c r="C79" s="12">
        <v>1</v>
      </c>
    </row>
    <row r="80" spans="1:3" x14ac:dyDescent="0.2">
      <c r="A80" s="13" t="s">
        <v>934</v>
      </c>
      <c r="B80" s="16" t="s">
        <v>212</v>
      </c>
      <c r="C80" s="12">
        <v>1</v>
      </c>
    </row>
    <row r="81" spans="1:3" x14ac:dyDescent="0.2">
      <c r="A81" s="13" t="s">
        <v>336</v>
      </c>
      <c r="B81" s="16" t="s">
        <v>86</v>
      </c>
      <c r="C81" s="12">
        <v>1</v>
      </c>
    </row>
    <row r="82" spans="1:3" x14ac:dyDescent="0.2">
      <c r="A82" s="13" t="s">
        <v>194</v>
      </c>
      <c r="B82" s="16" t="s">
        <v>220</v>
      </c>
      <c r="C82" s="12">
        <v>1</v>
      </c>
    </row>
    <row r="83" spans="1:3" x14ac:dyDescent="0.2">
      <c r="A83" s="13" t="s">
        <v>192</v>
      </c>
      <c r="B83" s="16" t="s">
        <v>212</v>
      </c>
      <c r="C83" s="12">
        <v>1</v>
      </c>
    </row>
    <row r="84" spans="1:3" x14ac:dyDescent="0.2">
      <c r="A84" s="13" t="s">
        <v>1750</v>
      </c>
      <c r="B84" s="16" t="s">
        <v>218</v>
      </c>
      <c r="C84" s="12">
        <v>1</v>
      </c>
    </row>
    <row r="85" spans="1:3" x14ac:dyDescent="0.2">
      <c r="A85" s="13" t="s">
        <v>280</v>
      </c>
      <c r="B85" s="16" t="s">
        <v>140</v>
      </c>
      <c r="C85" s="12">
        <v>1</v>
      </c>
    </row>
    <row r="86" spans="1:3" x14ac:dyDescent="0.2">
      <c r="A86" s="13" t="s">
        <v>75</v>
      </c>
      <c r="B86" s="13" t="s">
        <v>55</v>
      </c>
      <c r="C86" s="12">
        <v>0.66666666666666663</v>
      </c>
    </row>
    <row r="87" spans="1:3" x14ac:dyDescent="0.2">
      <c r="A87" s="13" t="s">
        <v>74</v>
      </c>
      <c r="B87" s="16" t="s">
        <v>214</v>
      </c>
      <c r="C87" s="12">
        <v>0.66666666666666663</v>
      </c>
    </row>
    <row r="88" spans="1:3" x14ac:dyDescent="0.2">
      <c r="A88" s="13" t="s">
        <v>73</v>
      </c>
      <c r="B88" s="16" t="s">
        <v>214</v>
      </c>
      <c r="C88" s="12">
        <v>0.66666666666666663</v>
      </c>
    </row>
    <row r="89" spans="1:3" x14ac:dyDescent="0.2">
      <c r="A89" s="13" t="s">
        <v>82</v>
      </c>
      <c r="B89" s="13" t="s">
        <v>87</v>
      </c>
      <c r="C89" s="12">
        <v>0.60000000000000009</v>
      </c>
    </row>
    <row r="90" spans="1:3" x14ac:dyDescent="0.2">
      <c r="A90" s="13" t="s">
        <v>456</v>
      </c>
      <c r="B90" s="16" t="s">
        <v>55</v>
      </c>
      <c r="C90" s="12">
        <v>0.5</v>
      </c>
    </row>
    <row r="91" spans="1:3" x14ac:dyDescent="0.2">
      <c r="A91" s="13" t="s">
        <v>1427</v>
      </c>
      <c r="B91" s="16" t="s">
        <v>243</v>
      </c>
      <c r="C91" s="12">
        <v>0.5</v>
      </c>
    </row>
    <row r="92" spans="1:3" x14ac:dyDescent="0.2">
      <c r="A92" s="13" t="s">
        <v>1115</v>
      </c>
      <c r="B92" s="16" t="s">
        <v>243</v>
      </c>
      <c r="C92" s="12">
        <v>0.5</v>
      </c>
    </row>
    <row r="93" spans="1:3" x14ac:dyDescent="0.2">
      <c r="A93" s="13" t="s">
        <v>848</v>
      </c>
      <c r="B93" s="16" t="s">
        <v>55</v>
      </c>
      <c r="C93" s="12">
        <v>0.5</v>
      </c>
    </row>
    <row r="94" spans="1:3" x14ac:dyDescent="0.2">
      <c r="A94" s="13" t="s">
        <v>896</v>
      </c>
      <c r="B94" s="16" t="s">
        <v>243</v>
      </c>
      <c r="C94" s="12">
        <v>0.5</v>
      </c>
    </row>
    <row r="95" spans="1:3" x14ac:dyDescent="0.2">
      <c r="A95" s="13" t="s">
        <v>205</v>
      </c>
      <c r="B95" s="16" t="s">
        <v>212</v>
      </c>
      <c r="C95" s="12">
        <v>0.5</v>
      </c>
    </row>
    <row r="96" spans="1:3" x14ac:dyDescent="0.2">
      <c r="A96" s="13" t="s">
        <v>198</v>
      </c>
      <c r="B96" s="16" t="s">
        <v>55</v>
      </c>
      <c r="C96" s="12">
        <v>0.5</v>
      </c>
    </row>
    <row r="97" spans="1:3" x14ac:dyDescent="0.2">
      <c r="A97" s="13" t="s">
        <v>203</v>
      </c>
      <c r="B97" s="16" t="s">
        <v>214</v>
      </c>
      <c r="C97" s="12">
        <v>0.5</v>
      </c>
    </row>
    <row r="98" spans="1:3" x14ac:dyDescent="0.2">
      <c r="A98" s="13" t="s">
        <v>69</v>
      </c>
      <c r="B98" s="13" t="s">
        <v>55</v>
      </c>
      <c r="C98" s="12">
        <v>0.35000000000000003</v>
      </c>
    </row>
    <row r="99" spans="1:3" x14ac:dyDescent="0.2">
      <c r="A99" s="13" t="s">
        <v>67</v>
      </c>
      <c r="B99" s="13" t="s">
        <v>55</v>
      </c>
      <c r="C99" s="12">
        <v>0.35000000000000003</v>
      </c>
    </row>
    <row r="100" spans="1:3" x14ac:dyDescent="0.2">
      <c r="A100" s="13" t="s">
        <v>61</v>
      </c>
      <c r="B100" s="13" t="s">
        <v>86</v>
      </c>
      <c r="C100" s="12">
        <v>0.33333333333333331</v>
      </c>
    </row>
    <row r="101" spans="1:3" x14ac:dyDescent="0.2">
      <c r="A101" s="13" t="s">
        <v>58</v>
      </c>
      <c r="B101" s="13" t="s">
        <v>86</v>
      </c>
      <c r="C101" s="12">
        <v>0.33333333333333331</v>
      </c>
    </row>
    <row r="102" spans="1:3" x14ac:dyDescent="0.2">
      <c r="A102" s="13" t="s">
        <v>79</v>
      </c>
      <c r="B102" s="13" t="s">
        <v>52</v>
      </c>
      <c r="C102" s="12">
        <v>0.30000000000000004</v>
      </c>
    </row>
    <row r="103" spans="1:3" x14ac:dyDescent="0.2">
      <c r="A103" s="13" t="s">
        <v>76</v>
      </c>
      <c r="B103" s="13" t="s">
        <v>52</v>
      </c>
      <c r="C103" s="12">
        <v>0.30000000000000004</v>
      </c>
    </row>
    <row r="104" spans="1:3" x14ac:dyDescent="0.2">
      <c r="A104" s="13" t="s">
        <v>64</v>
      </c>
      <c r="B104" s="16" t="s">
        <v>212</v>
      </c>
      <c r="C104" s="12">
        <v>0.30000000000000004</v>
      </c>
    </row>
    <row r="105" spans="1:3" x14ac:dyDescent="0.2">
      <c r="A105" s="13" t="s">
        <v>80</v>
      </c>
      <c r="B105" s="13" t="s">
        <v>52</v>
      </c>
      <c r="C105" s="12">
        <v>0.30000000000000004</v>
      </c>
    </row>
    <row r="106" spans="1:3" x14ac:dyDescent="0.2">
      <c r="A106" s="13" t="s">
        <v>78</v>
      </c>
      <c r="B106" s="13" t="s">
        <v>52</v>
      </c>
      <c r="C106" s="12">
        <v>0.30000000000000004</v>
      </c>
    </row>
    <row r="107" spans="1:3" x14ac:dyDescent="0.2">
      <c r="A107" s="13" t="s">
        <v>71</v>
      </c>
      <c r="B107" s="13" t="s">
        <v>88</v>
      </c>
      <c r="C107" s="12">
        <v>0.25</v>
      </c>
    </row>
    <row r="108" spans="1:3" x14ac:dyDescent="0.2">
      <c r="A108" s="13" t="s">
        <v>81</v>
      </c>
      <c r="B108" s="13" t="s">
        <v>87</v>
      </c>
      <c r="C108" s="12">
        <v>0.15000000000000002</v>
      </c>
    </row>
    <row r="109" spans="1:3" x14ac:dyDescent="0.2">
      <c r="A109" s="13" t="s">
        <v>85</v>
      </c>
      <c r="B109" s="13" t="s">
        <v>87</v>
      </c>
      <c r="C109" s="12">
        <v>7.5000000000000011E-2</v>
      </c>
    </row>
    <row r="110" spans="1:3" x14ac:dyDescent="0.2">
      <c r="A110" s="13" t="s">
        <v>51</v>
      </c>
      <c r="B110" s="13" t="s">
        <v>51</v>
      </c>
      <c r="C110" s="12">
        <v>0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0669-1F78-4ABB-A7C0-D5B8F9BD85D8}">
  <dimension ref="A1:C36"/>
  <sheetViews>
    <sheetView workbookViewId="0">
      <selection sqref="A1:C1"/>
    </sheetView>
  </sheetViews>
  <sheetFormatPr defaultRowHeight="14.25" x14ac:dyDescent="0.2"/>
  <cols>
    <col min="1" max="1" width="12.375" style="9" bestFit="1" customWidth="1"/>
    <col min="2" max="2" width="8.5" style="10" bestFit="1" customWidth="1"/>
  </cols>
  <sheetData>
    <row r="1" spans="1:3" ht="21" customHeight="1" x14ac:dyDescent="0.2">
      <c r="A1" s="14" t="s">
        <v>92</v>
      </c>
      <c r="B1" s="15" t="s">
        <v>100</v>
      </c>
      <c r="C1" s="15" t="s">
        <v>114</v>
      </c>
    </row>
    <row r="2" spans="1:3" x14ac:dyDescent="0.2">
      <c r="A2" s="16" t="s">
        <v>55</v>
      </c>
      <c r="B2" s="12">
        <v>46.916666666666671</v>
      </c>
      <c r="C2" s="16">
        <f>IFERROR(_xlfn.RANK.EQ(B2,B:B,0),"并列第"&amp;COUNTIF($C$2:C2,C2)&amp;"位")</f>
        <v>1</v>
      </c>
    </row>
    <row r="3" spans="1:3" x14ac:dyDescent="0.2">
      <c r="A3" s="16" t="s">
        <v>88</v>
      </c>
      <c r="B3" s="12">
        <v>46.25</v>
      </c>
      <c r="C3" s="16">
        <f>IFERROR(_xlfn.RANK.EQ(B3,B:B,0),"并列第"&amp;COUNTIF($C$2:C3,C3)&amp;"位")</f>
        <v>2</v>
      </c>
    </row>
    <row r="4" spans="1:3" x14ac:dyDescent="0.2">
      <c r="A4" s="16" t="s">
        <v>52</v>
      </c>
      <c r="B4" s="12">
        <v>35</v>
      </c>
      <c r="C4" s="16">
        <f>IFERROR(_xlfn.RANK.EQ(B4,B:B,0),"并列第"&amp;COUNTIF($C$2:C4,C4)&amp;"位")</f>
        <v>3</v>
      </c>
    </row>
    <row r="5" spans="1:3" x14ac:dyDescent="0.2">
      <c r="A5" s="16" t="s">
        <v>140</v>
      </c>
      <c r="B5" s="12">
        <v>26.574999999999999</v>
      </c>
      <c r="C5" s="16">
        <f>IFERROR(_xlfn.RANK.EQ(B5,B:B,0),"并列第"&amp;COUNTIF($C$2:C5,C5)&amp;"位")</f>
        <v>4</v>
      </c>
    </row>
    <row r="6" spans="1:3" x14ac:dyDescent="0.2">
      <c r="A6" s="16" t="s">
        <v>214</v>
      </c>
      <c r="B6" s="12">
        <v>15.833333333333332</v>
      </c>
      <c r="C6" s="16">
        <f>IFERROR(_xlfn.RANK.EQ(B6,B:B,0),"并列第"&amp;COUNTIF($C$2:C6,C6)&amp;"位")</f>
        <v>5</v>
      </c>
    </row>
    <row r="7" spans="1:3" x14ac:dyDescent="0.2">
      <c r="A7" s="16" t="s">
        <v>87</v>
      </c>
      <c r="B7" s="12">
        <v>14.925000000000001</v>
      </c>
      <c r="C7" s="16">
        <f>IFERROR(_xlfn.RANK.EQ(B7,B:B,0),"并列第"&amp;COUNTIF($C$2:C7,C7)&amp;"位")</f>
        <v>6</v>
      </c>
    </row>
    <row r="8" spans="1:3" x14ac:dyDescent="0.2">
      <c r="A8" s="16" t="s">
        <v>109</v>
      </c>
      <c r="B8" s="12">
        <v>14.5</v>
      </c>
      <c r="C8" s="16">
        <f>IFERROR(_xlfn.RANK.EQ(B8,B:B,0),"并列第"&amp;COUNTIF($C$2:C8,C8)&amp;"位")</f>
        <v>7</v>
      </c>
    </row>
    <row r="9" spans="1:3" x14ac:dyDescent="0.2">
      <c r="A9" s="16" t="s">
        <v>212</v>
      </c>
      <c r="B9" s="12">
        <v>14</v>
      </c>
      <c r="C9" s="16">
        <f>IFERROR(_xlfn.RANK.EQ(B9,B:B,0),"并列第"&amp;COUNTIF($C$2:C9,C9)&amp;"位")</f>
        <v>8</v>
      </c>
    </row>
    <row r="10" spans="1:3" x14ac:dyDescent="0.2">
      <c r="A10" s="16" t="s">
        <v>216</v>
      </c>
      <c r="B10" s="12">
        <v>14</v>
      </c>
      <c r="C10" s="16">
        <f>IFERROR(_xlfn.RANK.EQ(B10,B:B,0),"并列第"&amp;COUNTIF($C$2:C10,C10)&amp;"位")</f>
        <v>8</v>
      </c>
    </row>
    <row r="11" spans="1:3" x14ac:dyDescent="0.2">
      <c r="A11" s="16" t="s">
        <v>86</v>
      </c>
      <c r="B11" s="12">
        <v>12.5</v>
      </c>
      <c r="C11" s="16">
        <f>IFERROR(_xlfn.RANK.EQ(B11,B:B,0),"并列第"&amp;COUNTIF($C$2:C11,C11)&amp;"位")</f>
        <v>10</v>
      </c>
    </row>
    <row r="12" spans="1:3" x14ac:dyDescent="0.2">
      <c r="A12" s="16" t="s">
        <v>218</v>
      </c>
      <c r="B12" s="12">
        <v>2.5</v>
      </c>
      <c r="C12" s="16">
        <f>IFERROR(_xlfn.RANK.EQ(B12,B:B,0),"并列第"&amp;COUNTIF($C$2:C12,C12)&amp;"位")</f>
        <v>11</v>
      </c>
    </row>
    <row r="13" spans="1:3" x14ac:dyDescent="0.2">
      <c r="A13" s="16" t="s">
        <v>243</v>
      </c>
      <c r="B13" s="12">
        <v>1.5</v>
      </c>
      <c r="C13" s="16">
        <f>IFERROR(_xlfn.RANK.EQ(B13,B:B,0),"并列第"&amp;COUNTIF($C$2:C13,C13)&amp;"位")</f>
        <v>12</v>
      </c>
    </row>
    <row r="14" spans="1:3" x14ac:dyDescent="0.2">
      <c r="A14" s="16" t="s">
        <v>220</v>
      </c>
      <c r="B14" s="12">
        <v>1</v>
      </c>
      <c r="C14" s="16">
        <f>IFERROR(_xlfn.RANK.EQ(B14,B:B,0),"并列第"&amp;COUNTIF($C$2:C14,C14)&amp;"位")</f>
        <v>13</v>
      </c>
    </row>
    <row r="15" spans="1:3" x14ac:dyDescent="0.2">
      <c r="A15" s="16" t="s">
        <v>51</v>
      </c>
      <c r="B15" s="12">
        <v>0</v>
      </c>
    </row>
    <row r="16" spans="1:3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B36" s="9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8CC6-F864-47E0-8843-F502CFF8F7EE}">
  <dimension ref="A1:H30"/>
  <sheetViews>
    <sheetView workbookViewId="0">
      <selection activeCell="B1" sqref="B1:D1"/>
    </sheetView>
  </sheetViews>
  <sheetFormatPr defaultRowHeight="14.25" x14ac:dyDescent="0.2"/>
  <cols>
    <col min="1" max="1" width="9" bestFit="1" customWidth="1"/>
    <col min="2" max="2" width="23.5" bestFit="1" customWidth="1"/>
    <col min="3" max="3" width="13" bestFit="1" customWidth="1"/>
  </cols>
  <sheetData>
    <row r="1" spans="1:8" x14ac:dyDescent="0.2">
      <c r="A1" t="s">
        <v>22</v>
      </c>
      <c r="B1" t="s">
        <v>32</v>
      </c>
      <c r="C1" t="s">
        <v>33</v>
      </c>
      <c r="D1" t="s">
        <v>34</v>
      </c>
    </row>
    <row r="2" spans="1:8" x14ac:dyDescent="0.2">
      <c r="A2" t="s">
        <v>23</v>
      </c>
      <c r="B2" t="s">
        <v>31</v>
      </c>
      <c r="C2" t="s">
        <v>25</v>
      </c>
      <c r="D2">
        <v>6</v>
      </c>
      <c r="G2" t="str" cm="1">
        <f t="array" ref="G2">IFERROR(_xlfn.UNIQUE(_xlfn._xlws.FILTER(B:B, A:A=D2)), "")</f>
        <v/>
      </c>
      <c r="H2" t="str" cm="1">
        <f t="array" ref="H2">IFERROR(INDEX($B$2:$B$100, MATCH(0, COUNTIFS($H$2:H2, $B$2:$B$100, $A$2:$A$100, D3), 0)), "")</f>
        <v/>
      </c>
    </row>
    <row r="3" spans="1:8" x14ac:dyDescent="0.2">
      <c r="A3" t="s">
        <v>23</v>
      </c>
      <c r="B3" t="s">
        <v>31</v>
      </c>
      <c r="C3" t="s">
        <v>26</v>
      </c>
      <c r="D3">
        <v>5</v>
      </c>
      <c r="G3" t="str" cm="1">
        <f t="array" ref="G3">IFERROR(_xlfn.UNIQUE(_xlfn._xlws.FILTER(B:B, A:A=D3)), "")</f>
        <v/>
      </c>
    </row>
    <row r="4" spans="1:8" x14ac:dyDescent="0.2">
      <c r="A4" t="s">
        <v>23</v>
      </c>
      <c r="B4" t="s">
        <v>31</v>
      </c>
      <c r="C4" t="s">
        <v>27</v>
      </c>
      <c r="D4">
        <v>4</v>
      </c>
      <c r="G4" t="str" cm="1">
        <f t="array" ref="G4">IFERROR(_xlfn.UNIQUE(_xlfn._xlws.FILTER(B:B, A:A=D4)), "")</f>
        <v/>
      </c>
    </row>
    <row r="5" spans="1:8" x14ac:dyDescent="0.2">
      <c r="A5" t="s">
        <v>23</v>
      </c>
      <c r="B5" t="s">
        <v>31</v>
      </c>
      <c r="C5" t="s">
        <v>30</v>
      </c>
      <c r="D5">
        <v>4</v>
      </c>
      <c r="G5" t="str" cm="1">
        <f t="array" ref="G5">IFERROR(_xlfn.UNIQUE(_xlfn._xlws.FILTER(B:B, A:A=D5)), "")</f>
        <v/>
      </c>
    </row>
    <row r="6" spans="1:8" x14ac:dyDescent="0.2">
      <c r="A6" t="s">
        <v>23</v>
      </c>
      <c r="B6" t="s">
        <v>35</v>
      </c>
      <c r="C6" t="s">
        <v>25</v>
      </c>
      <c r="D6">
        <v>5</v>
      </c>
      <c r="G6" t="str" cm="1">
        <f t="array" ref="G6">IFERROR(_xlfn.UNIQUE(_xlfn._xlws.FILTER(B:B, A:A=D6)), "")</f>
        <v/>
      </c>
    </row>
    <row r="7" spans="1:8" x14ac:dyDescent="0.2">
      <c r="A7" t="s">
        <v>23</v>
      </c>
      <c r="B7" t="s">
        <v>35</v>
      </c>
      <c r="C7" t="s">
        <v>26</v>
      </c>
      <c r="D7">
        <v>4</v>
      </c>
      <c r="G7" t="str" cm="1">
        <f t="array" ref="G7">IFERROR(_xlfn.UNIQUE(_xlfn._xlws.FILTER(B:B, A:A=D7)), "")</f>
        <v/>
      </c>
    </row>
    <row r="8" spans="1:8" x14ac:dyDescent="0.2">
      <c r="A8" t="s">
        <v>23</v>
      </c>
      <c r="B8" t="s">
        <v>35</v>
      </c>
      <c r="C8" t="s">
        <v>27</v>
      </c>
      <c r="D8">
        <v>3</v>
      </c>
      <c r="G8" t="str" cm="1">
        <f t="array" ref="G8">IFERROR(_xlfn.UNIQUE(_xlfn._xlws.FILTER(B:B, A:A=D8)), "")</f>
        <v/>
      </c>
    </row>
    <row r="9" spans="1:8" x14ac:dyDescent="0.2">
      <c r="A9" t="s">
        <v>23</v>
      </c>
      <c r="B9" t="s">
        <v>35</v>
      </c>
      <c r="C9" t="s">
        <v>30</v>
      </c>
      <c r="D9">
        <v>3</v>
      </c>
      <c r="G9" t="str" cm="1">
        <f t="array" ref="G9">IFERROR(_xlfn.UNIQUE(_xlfn._xlws.FILTER(B:B, A:A=D9)), "")</f>
        <v/>
      </c>
    </row>
    <row r="10" spans="1:8" x14ac:dyDescent="0.2">
      <c r="A10" t="s">
        <v>23</v>
      </c>
      <c r="B10" t="s">
        <v>36</v>
      </c>
      <c r="C10" t="s">
        <v>25</v>
      </c>
      <c r="D10">
        <v>4</v>
      </c>
      <c r="G10" t="str" cm="1">
        <f t="array" ref="G10">IFERROR(_xlfn.UNIQUE(_xlfn._xlws.FILTER(B:B, A:A=D10)), "")</f>
        <v/>
      </c>
    </row>
    <row r="11" spans="1:8" x14ac:dyDescent="0.2">
      <c r="A11" t="s">
        <v>23</v>
      </c>
      <c r="B11" t="s">
        <v>36</v>
      </c>
      <c r="C11" t="s">
        <v>26</v>
      </c>
      <c r="D11">
        <v>3</v>
      </c>
      <c r="G11" t="str" cm="1">
        <f t="array" ref="G11">IFERROR(_xlfn.UNIQUE(_xlfn._xlws.FILTER(B:B, A:A=D11)), "")</f>
        <v/>
      </c>
    </row>
    <row r="12" spans="1:8" x14ac:dyDescent="0.2">
      <c r="A12" t="s">
        <v>23</v>
      </c>
      <c r="B12" t="s">
        <v>36</v>
      </c>
      <c r="C12" t="s">
        <v>27</v>
      </c>
      <c r="D12">
        <v>2</v>
      </c>
      <c r="G12" t="str" cm="1">
        <f t="array" ref="G12">IFERROR(_xlfn.UNIQUE(_xlfn._xlws.FILTER(B:B, A:A=D12)), "")</f>
        <v/>
      </c>
    </row>
    <row r="13" spans="1:8" x14ac:dyDescent="0.2">
      <c r="A13" t="s">
        <v>23</v>
      </c>
      <c r="B13" t="s">
        <v>36</v>
      </c>
      <c r="C13" t="s">
        <v>30</v>
      </c>
      <c r="D13">
        <v>2</v>
      </c>
      <c r="G13" t="str" cm="1">
        <f t="array" ref="G13">IFERROR(_xlfn.UNIQUE(_xlfn._xlws.FILTER(B:B, A:A=D13)), "")</f>
        <v/>
      </c>
    </row>
    <row r="14" spans="1:8" x14ac:dyDescent="0.2">
      <c r="A14" t="s">
        <v>23</v>
      </c>
      <c r="B14" t="s">
        <v>37</v>
      </c>
      <c r="C14" t="s">
        <v>25</v>
      </c>
      <c r="D14">
        <v>3</v>
      </c>
      <c r="G14" t="str" cm="1">
        <f t="array" ref="G14">IFERROR(_xlfn.UNIQUE(_xlfn._xlws.FILTER(B:B, A:A=D14)), "")</f>
        <v/>
      </c>
    </row>
    <row r="15" spans="1:8" x14ac:dyDescent="0.2">
      <c r="A15" t="s">
        <v>23</v>
      </c>
      <c r="B15" t="s">
        <v>37</v>
      </c>
      <c r="C15" t="s">
        <v>26</v>
      </c>
      <c r="D15">
        <v>2</v>
      </c>
      <c r="G15" t="str" cm="1">
        <f t="array" ref="G15">IFERROR(_xlfn.UNIQUE(_xlfn._xlws.FILTER(B:B, A:A=D15)), "")</f>
        <v/>
      </c>
    </row>
    <row r="16" spans="1:8" x14ac:dyDescent="0.2">
      <c r="A16" t="s">
        <v>23</v>
      </c>
      <c r="B16" t="s">
        <v>37</v>
      </c>
      <c r="C16" t="s">
        <v>27</v>
      </c>
      <c r="D16">
        <v>1</v>
      </c>
      <c r="G16" t="str" cm="1">
        <f t="array" ref="G16">IFERROR(_xlfn.UNIQUE(_xlfn._xlws.FILTER(B:B, A:A=D16)), "")</f>
        <v/>
      </c>
    </row>
    <row r="17" spans="1:7" x14ac:dyDescent="0.2">
      <c r="A17" t="s">
        <v>23</v>
      </c>
      <c r="B17" t="s">
        <v>37</v>
      </c>
      <c r="C17" t="s">
        <v>30</v>
      </c>
      <c r="D17">
        <v>1</v>
      </c>
      <c r="G17" t="str" cm="1">
        <f t="array" ref="G17">IFERROR(_xlfn.UNIQUE(_xlfn._xlws.FILTER(B:B, A:A=D17)), "")</f>
        <v/>
      </c>
    </row>
    <row r="18" spans="1:7" x14ac:dyDescent="0.2">
      <c r="A18" t="s">
        <v>23</v>
      </c>
      <c r="B18" t="s">
        <v>38</v>
      </c>
      <c r="C18" t="s">
        <v>39</v>
      </c>
      <c r="D18">
        <v>4</v>
      </c>
      <c r="G18" t="str" cm="1">
        <f t="array" ref="G18">IFERROR(_xlfn.UNIQUE(_xlfn._xlws.FILTER(B:B, A:A=D18)), "")</f>
        <v/>
      </c>
    </row>
    <row r="19" spans="1:7" x14ac:dyDescent="0.2">
      <c r="A19" t="s">
        <v>23</v>
      </c>
      <c r="B19" t="s">
        <v>38</v>
      </c>
      <c r="C19" t="s">
        <v>40</v>
      </c>
      <c r="D19">
        <v>3</v>
      </c>
      <c r="G19" t="str" cm="1">
        <f t="array" ref="G19">IFERROR(_xlfn.UNIQUE(_xlfn._xlws.FILTER(B:B, A:A=D19)), "")</f>
        <v/>
      </c>
    </row>
    <row r="20" spans="1:7" x14ac:dyDescent="0.2">
      <c r="A20" t="s">
        <v>23</v>
      </c>
      <c r="B20" t="s">
        <v>38</v>
      </c>
      <c r="C20" t="s">
        <v>41</v>
      </c>
      <c r="D20">
        <v>2</v>
      </c>
      <c r="G20" t="str" cm="1">
        <f t="array" ref="G20">IFERROR(_xlfn.UNIQUE(_xlfn._xlws.FILTER(B:B, A:A=D20)), "")</f>
        <v/>
      </c>
    </row>
    <row r="21" spans="1:7" x14ac:dyDescent="0.2">
      <c r="A21" t="s">
        <v>24</v>
      </c>
      <c r="B21" t="s">
        <v>42</v>
      </c>
      <c r="C21" t="s">
        <v>25</v>
      </c>
      <c r="D21">
        <v>2.5</v>
      </c>
      <c r="G21" t="str" cm="1">
        <f t="array" ref="G21">IFERROR(_xlfn.UNIQUE(_xlfn._xlws.FILTER(B:B, A:A=D21)), "")</f>
        <v/>
      </c>
    </row>
    <row r="22" spans="1:7" x14ac:dyDescent="0.2">
      <c r="A22" t="s">
        <v>24</v>
      </c>
      <c r="B22" t="s">
        <v>42</v>
      </c>
      <c r="C22" t="s">
        <v>26</v>
      </c>
      <c r="D22">
        <v>2</v>
      </c>
      <c r="G22" t="str" cm="1">
        <f t="array" ref="G22">IFERROR(_xlfn.UNIQUE(_xlfn._xlws.FILTER(B:B, A:A=D22)), "")</f>
        <v/>
      </c>
    </row>
    <row r="23" spans="1:7" x14ac:dyDescent="0.2">
      <c r="A23" t="s">
        <v>24</v>
      </c>
      <c r="B23" t="s">
        <v>42</v>
      </c>
      <c r="C23" t="s">
        <v>27</v>
      </c>
      <c r="D23">
        <v>1.5</v>
      </c>
      <c r="G23" t="str" cm="1">
        <f t="array" ref="G23">IFERROR(_xlfn.UNIQUE(_xlfn._xlws.FILTER(B:B, A:A=D23)), "")</f>
        <v/>
      </c>
    </row>
    <row r="24" spans="1:7" x14ac:dyDescent="0.2">
      <c r="A24" t="s">
        <v>24</v>
      </c>
      <c r="B24" t="s">
        <v>43</v>
      </c>
      <c r="C24" t="s">
        <v>25</v>
      </c>
      <c r="D24">
        <v>1.5</v>
      </c>
    </row>
    <row r="25" spans="1:7" x14ac:dyDescent="0.2">
      <c r="A25" t="s">
        <v>24</v>
      </c>
      <c r="B25" t="s">
        <v>43</v>
      </c>
      <c r="C25" t="s">
        <v>26</v>
      </c>
      <c r="D25">
        <v>1</v>
      </c>
    </row>
    <row r="26" spans="1:7" x14ac:dyDescent="0.2">
      <c r="A26" t="s">
        <v>24</v>
      </c>
      <c r="B26" t="s">
        <v>43</v>
      </c>
      <c r="C26" t="s">
        <v>27</v>
      </c>
      <c r="D26">
        <v>0.5</v>
      </c>
    </row>
    <row r="27" spans="1:7" x14ac:dyDescent="0.2">
      <c r="A27" t="s">
        <v>24</v>
      </c>
      <c r="B27" t="s">
        <v>44</v>
      </c>
      <c r="C27" t="s">
        <v>25</v>
      </c>
      <c r="D27">
        <v>0.5</v>
      </c>
    </row>
    <row r="28" spans="1:7" x14ac:dyDescent="0.2">
      <c r="A28" t="s">
        <v>24</v>
      </c>
      <c r="B28" t="s">
        <v>45</v>
      </c>
      <c r="C28" t="s">
        <v>25</v>
      </c>
      <c r="D28">
        <v>2</v>
      </c>
    </row>
    <row r="29" spans="1:7" x14ac:dyDescent="0.2">
      <c r="A29" t="s">
        <v>24</v>
      </c>
      <c r="B29" t="s">
        <v>149</v>
      </c>
      <c r="C29" t="s">
        <v>150</v>
      </c>
      <c r="D29">
        <v>2</v>
      </c>
    </row>
    <row r="30" spans="1:7" x14ac:dyDescent="0.2">
      <c r="A30" t="s">
        <v>24</v>
      </c>
      <c r="B30" t="s">
        <v>149</v>
      </c>
      <c r="C30" t="s">
        <v>47</v>
      </c>
      <c r="D30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4363-342C-48FF-AB9C-33CF93CD99E4}">
  <dimension ref="A1:K8"/>
  <sheetViews>
    <sheetView workbookViewId="0">
      <selection activeCell="D20" sqref="D20"/>
    </sheetView>
  </sheetViews>
  <sheetFormatPr defaultRowHeight="14.25" x14ac:dyDescent="0.2"/>
  <cols>
    <col min="1" max="1" width="18.75" customWidth="1"/>
    <col min="4" max="4" width="9" customWidth="1"/>
    <col min="8" max="8" width="19.375" customWidth="1"/>
  </cols>
  <sheetData>
    <row r="1" spans="1:11" ht="15" thickBot="1" x14ac:dyDescent="0.25">
      <c r="A1" t="s">
        <v>23</v>
      </c>
      <c r="H1" t="s">
        <v>24</v>
      </c>
    </row>
    <row r="2" spans="1:11" ht="17.25" thickBot="1" x14ac:dyDescent="0.25">
      <c r="A2" s="32" t="s">
        <v>12</v>
      </c>
      <c r="B2" s="34" t="s">
        <v>13</v>
      </c>
      <c r="C2" s="35"/>
      <c r="D2" s="35"/>
      <c r="E2" s="36"/>
      <c r="H2" s="32" t="s">
        <v>12</v>
      </c>
      <c r="I2" s="34" t="s">
        <v>13</v>
      </c>
      <c r="J2" s="35"/>
      <c r="K2" s="36"/>
    </row>
    <row r="3" spans="1:11" ht="17.25" thickBot="1" x14ac:dyDescent="0.25">
      <c r="A3" s="33"/>
      <c r="B3" s="2" t="s">
        <v>25</v>
      </c>
      <c r="C3" s="2" t="s">
        <v>26</v>
      </c>
      <c r="D3" s="2" t="s">
        <v>27</v>
      </c>
      <c r="E3" s="1" t="s">
        <v>30</v>
      </c>
      <c r="H3" s="37"/>
      <c r="I3" s="5" t="s">
        <v>17</v>
      </c>
      <c r="J3" s="5" t="s">
        <v>18</v>
      </c>
      <c r="K3" s="5" t="s">
        <v>19</v>
      </c>
    </row>
    <row r="4" spans="1:11" ht="17.25" thickBot="1" x14ac:dyDescent="0.25">
      <c r="A4" s="3" t="s">
        <v>31</v>
      </c>
      <c r="B4" s="6">
        <v>6</v>
      </c>
      <c r="C4" s="6">
        <v>5</v>
      </c>
      <c r="D4" s="6">
        <v>4</v>
      </c>
      <c r="E4" s="6">
        <v>4</v>
      </c>
      <c r="H4" s="3" t="s">
        <v>42</v>
      </c>
      <c r="I4" s="6">
        <v>2.5</v>
      </c>
      <c r="J4" s="6">
        <v>2</v>
      </c>
      <c r="K4" s="6">
        <v>1.5</v>
      </c>
    </row>
    <row r="5" spans="1:11" ht="17.25" thickBot="1" x14ac:dyDescent="0.25">
      <c r="A5" s="3" t="s">
        <v>35</v>
      </c>
      <c r="B5" s="6">
        <v>5</v>
      </c>
      <c r="C5" s="6">
        <v>4</v>
      </c>
      <c r="D5" s="6">
        <v>3</v>
      </c>
      <c r="E5" s="6">
        <v>3</v>
      </c>
      <c r="H5" s="3" t="s">
        <v>43</v>
      </c>
      <c r="I5" s="6">
        <v>1.5</v>
      </c>
      <c r="J5" s="6">
        <v>1</v>
      </c>
      <c r="K5" s="6">
        <v>0.5</v>
      </c>
    </row>
    <row r="6" spans="1:11" ht="17.25" thickBot="1" x14ac:dyDescent="0.25">
      <c r="A6" s="3" t="s">
        <v>36</v>
      </c>
      <c r="B6" s="6">
        <v>4</v>
      </c>
      <c r="C6" s="6">
        <v>3</v>
      </c>
      <c r="D6" s="6">
        <v>2</v>
      </c>
      <c r="E6" s="6">
        <v>2</v>
      </c>
      <c r="H6" s="3" t="s">
        <v>44</v>
      </c>
      <c r="I6" s="6">
        <v>0.5</v>
      </c>
      <c r="J6" s="6"/>
      <c r="K6" s="6"/>
    </row>
    <row r="7" spans="1:11" ht="17.25" thickBot="1" x14ac:dyDescent="0.25">
      <c r="A7" s="3" t="s">
        <v>37</v>
      </c>
      <c r="B7" s="6">
        <v>3</v>
      </c>
      <c r="C7" s="6">
        <v>2</v>
      </c>
      <c r="D7" s="6">
        <v>1</v>
      </c>
      <c r="E7" s="6">
        <v>1</v>
      </c>
      <c r="H7" s="3" t="s">
        <v>45</v>
      </c>
      <c r="I7" s="6">
        <v>2</v>
      </c>
      <c r="J7" s="6"/>
      <c r="K7" s="6"/>
    </row>
    <row r="8" spans="1:11" ht="17.25" thickBot="1" x14ac:dyDescent="0.25">
      <c r="A8" s="3" t="s">
        <v>38</v>
      </c>
      <c r="B8" s="4" t="s">
        <v>14</v>
      </c>
      <c r="C8" s="4" t="s">
        <v>15</v>
      </c>
      <c r="D8" s="4" t="s">
        <v>16</v>
      </c>
      <c r="E8" s="3"/>
      <c r="H8" s="3" t="s">
        <v>46</v>
      </c>
      <c r="I8" s="4" t="s">
        <v>20</v>
      </c>
      <c r="J8" s="4" t="s">
        <v>21</v>
      </c>
      <c r="K8" s="3"/>
    </row>
  </sheetData>
  <mergeCells count="4">
    <mergeCell ref="A2:A3"/>
    <mergeCell ref="B2:E2"/>
    <mergeCell ref="H2:H3"/>
    <mergeCell ref="I2:K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8B8E-8F70-4E40-9B32-49C0F6AC3225}">
  <dimension ref="A1:D21"/>
  <sheetViews>
    <sheetView showGridLines="0" workbookViewId="0">
      <selection activeCell="A10" sqref="A10"/>
    </sheetView>
  </sheetViews>
  <sheetFormatPr defaultRowHeight="14.25" x14ac:dyDescent="0.2"/>
  <cols>
    <col min="1" max="4" width="10.75" customWidth="1"/>
  </cols>
  <sheetData>
    <row r="1" spans="1:4" ht="25.5" customHeight="1" x14ac:dyDescent="0.2">
      <c r="A1" s="17" t="s">
        <v>162</v>
      </c>
      <c r="B1" s="17" t="s">
        <v>163</v>
      </c>
      <c r="C1" s="17" t="s">
        <v>164</v>
      </c>
      <c r="D1" s="17" t="s">
        <v>165</v>
      </c>
    </row>
    <row r="2" spans="1:4" ht="16.5" x14ac:dyDescent="0.2">
      <c r="A2" s="18" t="str">
        <f>person!A2</f>
        <v>宋伟</v>
      </c>
      <c r="B2" s="19" t="str">
        <f>person!B2</f>
        <v>工业工程科</v>
      </c>
      <c r="C2" s="20">
        <f>person!C2</f>
        <v>13.5</v>
      </c>
      <c r="D2" s="21">
        <f>person!D2</f>
        <v>1</v>
      </c>
    </row>
    <row r="3" spans="1:4" ht="16.5" x14ac:dyDescent="0.2">
      <c r="A3" s="18" t="str">
        <f>person!A3</f>
        <v>谢天文</v>
      </c>
      <c r="B3" s="19" t="str">
        <f>person!B3</f>
        <v>安技环保科</v>
      </c>
      <c r="C3" s="20">
        <f>person!C3</f>
        <v>10</v>
      </c>
      <c r="D3" s="21">
        <f>person!D3</f>
        <v>2</v>
      </c>
    </row>
    <row r="4" spans="1:4" ht="16.5" x14ac:dyDescent="0.2">
      <c r="A4" s="18" t="str">
        <f>person!A4</f>
        <v>吴广超</v>
      </c>
      <c r="B4" s="19" t="str">
        <f>person!B4</f>
        <v>工业工程科</v>
      </c>
      <c r="C4" s="20">
        <f>person!C4</f>
        <v>9.5</v>
      </c>
      <c r="D4" s="21">
        <f>person!D4</f>
        <v>3</v>
      </c>
    </row>
    <row r="5" spans="1:4" ht="16.5" x14ac:dyDescent="0.2">
      <c r="A5" s="18" t="str">
        <f>person!A5</f>
        <v>王瑞林</v>
      </c>
      <c r="B5" s="19" t="str">
        <f>person!B5</f>
        <v>设备动力科</v>
      </c>
      <c r="C5" s="20">
        <f>person!C5</f>
        <v>7.35</v>
      </c>
      <c r="D5" s="21">
        <f>person!D5</f>
        <v>4</v>
      </c>
    </row>
    <row r="6" spans="1:4" ht="16.5" x14ac:dyDescent="0.2">
      <c r="A6" s="18" t="str">
        <f>person!A6</f>
        <v>王晓冬</v>
      </c>
      <c r="B6" s="19" t="str">
        <f>person!B6</f>
        <v>工业工程科</v>
      </c>
      <c r="C6" s="20">
        <f>person!C6</f>
        <v>6.75</v>
      </c>
      <c r="D6" s="21">
        <f>person!D6</f>
        <v>5</v>
      </c>
    </row>
    <row r="7" spans="1:4" ht="16.5" x14ac:dyDescent="0.2">
      <c r="A7" s="18" t="str">
        <f>person!A7</f>
        <v>宋畅</v>
      </c>
      <c r="B7" s="19" t="str">
        <f>person!B7</f>
        <v>冲焊科</v>
      </c>
      <c r="C7" s="20">
        <f>person!C7</f>
        <v>6.1</v>
      </c>
      <c r="D7" s="21">
        <f>person!D7</f>
        <v>6</v>
      </c>
    </row>
    <row r="8" spans="1:4" ht="16.5" x14ac:dyDescent="0.2">
      <c r="A8" s="18" t="str">
        <f>person!A8</f>
        <v>张哲</v>
      </c>
      <c r="B8" s="19" t="str">
        <f>person!B8</f>
        <v>技术科</v>
      </c>
      <c r="C8" s="20">
        <f>person!C8</f>
        <v>6</v>
      </c>
      <c r="D8" s="21">
        <f>person!D8</f>
        <v>7</v>
      </c>
    </row>
    <row r="9" spans="1:4" ht="16.5" x14ac:dyDescent="0.2">
      <c r="A9" s="18" t="str">
        <f>person!A9</f>
        <v>柳菁</v>
      </c>
      <c r="B9" s="19" t="str">
        <f>person!B9</f>
        <v>综合管理科</v>
      </c>
      <c r="C9" s="20">
        <f>person!C9</f>
        <v>5.5</v>
      </c>
      <c r="D9" s="21">
        <f>person!D9</f>
        <v>8</v>
      </c>
    </row>
    <row r="10" spans="1:4" ht="16.5" x14ac:dyDescent="0.2">
      <c r="A10" s="18" t="str">
        <f>person!A10</f>
        <v>华运崇</v>
      </c>
      <c r="B10" s="19" t="str">
        <f>person!B10</f>
        <v>综合管理科</v>
      </c>
      <c r="C10" s="20">
        <f>person!C10</f>
        <v>5.5</v>
      </c>
      <c r="D10" s="21">
        <f>person!D10</f>
        <v>8</v>
      </c>
    </row>
    <row r="11" spans="1:4" ht="16.5" x14ac:dyDescent="0.2">
      <c r="A11" s="18" t="str">
        <f>person!A11</f>
        <v>祝益盛</v>
      </c>
      <c r="B11" s="19" t="str">
        <f>person!B11</f>
        <v>生产管理科</v>
      </c>
      <c r="C11" s="20">
        <f>person!C11</f>
        <v>4.8333333333333339</v>
      </c>
      <c r="D11" s="21">
        <f>person!D11</f>
        <v>10</v>
      </c>
    </row>
    <row r="12" spans="1:4" ht="16.5" x14ac:dyDescent="0.2">
      <c r="A12" s="18" t="str">
        <f>person!A12</f>
        <v>于慧缘</v>
      </c>
      <c r="B12" s="19" t="str">
        <f>person!B12</f>
        <v>品质保证科</v>
      </c>
      <c r="C12" s="20">
        <f>person!C12</f>
        <v>4.8</v>
      </c>
      <c r="D12" s="21">
        <f>person!D12</f>
        <v>11</v>
      </c>
    </row>
    <row r="13" spans="1:4" ht="16.5" x14ac:dyDescent="0.2">
      <c r="A13" s="18" t="str">
        <f>person!A13</f>
        <v>康明聪</v>
      </c>
      <c r="B13" s="19" t="str">
        <f>person!B13</f>
        <v>涂树科</v>
      </c>
      <c r="C13" s="20">
        <f>person!C13</f>
        <v>4.5</v>
      </c>
      <c r="D13" s="21">
        <f>person!D13</f>
        <v>12</v>
      </c>
    </row>
    <row r="14" spans="1:4" ht="16.5" x14ac:dyDescent="0.2">
      <c r="A14" s="18" t="str">
        <f>person!A14</f>
        <v>许红科</v>
      </c>
      <c r="B14" s="19" t="str">
        <f>person!B14</f>
        <v>品质保证科</v>
      </c>
      <c r="C14" s="20">
        <f>person!C14</f>
        <v>4.5</v>
      </c>
      <c r="D14" s="21">
        <f>person!D14</f>
        <v>12</v>
      </c>
    </row>
    <row r="15" spans="1:4" ht="16.5" x14ac:dyDescent="0.2">
      <c r="A15" s="18" t="str">
        <f>person!A15</f>
        <v>汲浩铭</v>
      </c>
      <c r="B15" s="19" t="str">
        <f>person!B15</f>
        <v>总装科</v>
      </c>
      <c r="C15" s="20">
        <f>person!C15</f>
        <v>4.5</v>
      </c>
      <c r="D15" s="21">
        <f>person!D15</f>
        <v>12</v>
      </c>
    </row>
    <row r="16" spans="1:4" ht="16.5" x14ac:dyDescent="0.2">
      <c r="A16" s="18" t="str">
        <f>person!A16</f>
        <v>刘炜华</v>
      </c>
      <c r="B16" s="19" t="str">
        <f>person!B16</f>
        <v>设备动力科</v>
      </c>
      <c r="C16" s="20">
        <f>person!C16</f>
        <v>4.5</v>
      </c>
      <c r="D16" s="21">
        <f>person!D16</f>
        <v>12</v>
      </c>
    </row>
    <row r="17" spans="1:4" ht="16.5" x14ac:dyDescent="0.2">
      <c r="A17" s="18" t="str">
        <f>person!A17</f>
        <v>王冠</v>
      </c>
      <c r="B17" s="19" t="str">
        <f>person!B17</f>
        <v>工业工程科</v>
      </c>
      <c r="C17" s="20">
        <f>person!C17</f>
        <v>4.25</v>
      </c>
      <c r="D17" s="21">
        <f>person!D17</f>
        <v>16</v>
      </c>
    </row>
    <row r="18" spans="1:4" ht="16.5" x14ac:dyDescent="0.2">
      <c r="A18" s="18" t="str">
        <f>person!A18</f>
        <v>杨艳宝</v>
      </c>
      <c r="B18" s="19" t="str">
        <f>person!B18</f>
        <v>设备动力科</v>
      </c>
      <c r="C18" s="20">
        <f>person!C18</f>
        <v>4</v>
      </c>
      <c r="D18" s="21">
        <f>person!D18</f>
        <v>17</v>
      </c>
    </row>
    <row r="19" spans="1:4" ht="16.5" x14ac:dyDescent="0.2">
      <c r="A19" s="18" t="str">
        <f>person!A19</f>
        <v>丁友贺</v>
      </c>
      <c r="B19" s="19" t="str">
        <f>person!B19</f>
        <v>设备动力科</v>
      </c>
      <c r="C19" s="20">
        <f>person!C19</f>
        <v>4</v>
      </c>
      <c r="D19" s="21">
        <f>person!D19</f>
        <v>17</v>
      </c>
    </row>
    <row r="20" spans="1:4" ht="16.5" x14ac:dyDescent="0.2">
      <c r="A20" s="18" t="str">
        <f>person!A20</f>
        <v>曲叶超</v>
      </c>
      <c r="B20" s="19" t="str">
        <f>person!B20</f>
        <v>工业工程科</v>
      </c>
      <c r="C20" s="20">
        <f>person!C20</f>
        <v>4</v>
      </c>
      <c r="D20" s="21">
        <f>person!D20</f>
        <v>17</v>
      </c>
    </row>
    <row r="21" spans="1:4" ht="16.5" x14ac:dyDescent="0.2">
      <c r="A21" s="18" t="str">
        <f>person!A21</f>
        <v>刘昇</v>
      </c>
      <c r="B21" s="19" t="str">
        <f>person!B21</f>
        <v>设备动力科</v>
      </c>
      <c r="C21" s="20">
        <f>person!C21</f>
        <v>4</v>
      </c>
      <c r="D21" s="21">
        <f>person!D21</f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C17-13BD-4830-97DB-FB5ED31BEA54}">
  <dimension ref="A1:C30"/>
  <sheetViews>
    <sheetView workbookViewId="0">
      <selection activeCell="B3" sqref="B3"/>
    </sheetView>
  </sheetViews>
  <sheetFormatPr defaultRowHeight="14.25" x14ac:dyDescent="0.2"/>
  <cols>
    <col min="1" max="1" width="12.375" style="9" bestFit="1" customWidth="1"/>
    <col min="2" max="2" width="8.5" style="10" bestFit="1" customWidth="1"/>
  </cols>
  <sheetData>
    <row r="1" spans="1:3" ht="21" customHeight="1" x14ac:dyDescent="0.2">
      <c r="A1" s="17" t="s">
        <v>163</v>
      </c>
      <c r="B1" s="17" t="s">
        <v>164</v>
      </c>
      <c r="C1" s="17" t="s">
        <v>165</v>
      </c>
    </row>
    <row r="2" spans="1:3" x14ac:dyDescent="0.2">
      <c r="A2" s="19" t="str">
        <f>section!A2</f>
        <v>设备动力科</v>
      </c>
      <c r="B2" s="27">
        <f>section!B2</f>
        <v>46.916666666666671</v>
      </c>
      <c r="C2" s="19">
        <f>section!C2</f>
        <v>1</v>
      </c>
    </row>
    <row r="3" spans="1:3" x14ac:dyDescent="0.2">
      <c r="A3" s="19" t="str">
        <f>section!A3</f>
        <v>工业工程科</v>
      </c>
      <c r="B3" s="27">
        <f>section!B3</f>
        <v>46.25</v>
      </c>
      <c r="C3" s="19">
        <f>section!C3</f>
        <v>2</v>
      </c>
    </row>
    <row r="4" spans="1:3" x14ac:dyDescent="0.2">
      <c r="A4" s="19" t="str">
        <f>section!A4</f>
        <v>品质保证科</v>
      </c>
      <c r="B4" s="27">
        <f>section!B4</f>
        <v>35</v>
      </c>
      <c r="C4" s="19">
        <f>section!C4</f>
        <v>3</v>
      </c>
    </row>
    <row r="5" spans="1:3" x14ac:dyDescent="0.2">
      <c r="A5" s="19" t="str">
        <f>section!A5</f>
        <v>技术科</v>
      </c>
      <c r="B5" s="27">
        <f>section!B5</f>
        <v>26.574999999999999</v>
      </c>
      <c r="C5" s="19">
        <f>section!C5</f>
        <v>4</v>
      </c>
    </row>
    <row r="6" spans="1:3" x14ac:dyDescent="0.2">
      <c r="A6" s="19" t="str">
        <f>section!A6</f>
        <v>涂树科</v>
      </c>
      <c r="B6" s="27">
        <f>section!B6</f>
        <v>15.833333333333332</v>
      </c>
      <c r="C6" s="19">
        <f>section!C6</f>
        <v>5</v>
      </c>
    </row>
    <row r="7" spans="1:3" x14ac:dyDescent="0.2">
      <c r="A7" s="19" t="str">
        <f>section!A7</f>
        <v>总装科</v>
      </c>
      <c r="B7" s="27">
        <f>section!B7</f>
        <v>14.925000000000001</v>
      </c>
      <c r="C7" s="19">
        <f>section!C7</f>
        <v>6</v>
      </c>
    </row>
    <row r="8" spans="1:3" x14ac:dyDescent="0.2">
      <c r="A8" s="19" t="str">
        <f>section!A8</f>
        <v>安技环保科</v>
      </c>
      <c r="B8" s="27">
        <f>section!B8</f>
        <v>14.5</v>
      </c>
      <c r="C8" s="19">
        <f>section!C8</f>
        <v>7</v>
      </c>
    </row>
    <row r="9" spans="1:3" x14ac:dyDescent="0.2">
      <c r="A9" s="19" t="str">
        <f>section!A9</f>
        <v>冲焊科</v>
      </c>
      <c r="B9" s="27">
        <f>section!B9</f>
        <v>14</v>
      </c>
      <c r="C9" s="19">
        <f>section!C9</f>
        <v>8</v>
      </c>
    </row>
    <row r="10" spans="1:3" x14ac:dyDescent="0.2">
      <c r="A10" s="19" t="str">
        <f>section!A10</f>
        <v>综合管理科</v>
      </c>
      <c r="B10" s="27">
        <f>section!B10</f>
        <v>14</v>
      </c>
      <c r="C10" s="19">
        <f>section!C10</f>
        <v>8</v>
      </c>
    </row>
    <row r="11" spans="1:3" x14ac:dyDescent="0.2">
      <c r="A11" s="19" t="str">
        <f>section!A11</f>
        <v>生产管理科</v>
      </c>
      <c r="B11" s="27">
        <f>section!B11</f>
        <v>12.5</v>
      </c>
      <c r="C11" s="19">
        <f>section!C11</f>
        <v>10</v>
      </c>
    </row>
    <row r="12" spans="1:3" x14ac:dyDescent="0.2">
      <c r="A12" s="19" t="str">
        <f>section!A12</f>
        <v>大连财务科</v>
      </c>
      <c r="B12" s="27">
        <f>section!B12</f>
        <v>2.5</v>
      </c>
      <c r="C12" s="19">
        <f>section!C12</f>
        <v>11</v>
      </c>
    </row>
    <row r="13" spans="1:3" x14ac:dyDescent="0.2">
      <c r="A13" s="19" t="str">
        <f>section!A13</f>
        <v>党群工作室</v>
      </c>
      <c r="B13" s="27">
        <f>section!B13</f>
        <v>1.5</v>
      </c>
      <c r="C13" s="19">
        <f>section!C13</f>
        <v>12</v>
      </c>
    </row>
    <row r="14" spans="1:3" x14ac:dyDescent="0.2">
      <c r="A14" s="19" t="str">
        <f>section!A14</f>
        <v>大连部品科</v>
      </c>
      <c r="B14" s="27">
        <f>section!B14</f>
        <v>1</v>
      </c>
      <c r="C14" s="19">
        <f>section!C14</f>
        <v>13</v>
      </c>
    </row>
    <row r="15" spans="1:3" x14ac:dyDescent="0.2">
      <c r="A15" s="19" t="str">
        <f>section!A15</f>
        <v>(空白)</v>
      </c>
      <c r="B15" s="27">
        <f>section!B15</f>
        <v>0</v>
      </c>
      <c r="C15" s="19">
        <f>section!C15</f>
        <v>0</v>
      </c>
    </row>
    <row r="16" spans="1:3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B30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获奖信息</vt:lpstr>
      <vt:lpstr>Sheet1</vt:lpstr>
      <vt:lpstr>人员信息</vt:lpstr>
      <vt:lpstr>DataDetails</vt:lpstr>
      <vt:lpstr>待评估</vt:lpstr>
      <vt:lpstr>person</vt:lpstr>
      <vt:lpstr>section</vt:lpstr>
      <vt:lpstr>积分标准</vt:lpstr>
      <vt:lpstr>规则说明</vt:lpstr>
      <vt:lpstr>personV1</vt:lpstr>
      <vt:lpstr>sectionV1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王晓冬(Wang Xiaodong,EMD)(东风汽车有限公司东风日产大连分公司工务部工业工程科)</dc:creator>
  <cp:lastModifiedBy>wang-xiaodong@dfl.com.cn</cp:lastModifiedBy>
  <dcterms:created xsi:type="dcterms:W3CDTF">2015-06-05T18:19:34Z</dcterms:created>
  <dcterms:modified xsi:type="dcterms:W3CDTF">2026-01-21T03:11:33Z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rackVanish">
    <vt:lpwstr>{2FCA8E4D-F71C-4842-9466-C441F9C95AC5}</vt:lpwstr>
  </property>
  <property fmtid="{D5CDD505-2E9C-101B-9397-08002B2CF9AE}" pid="3" name="DLPManualFileClassification">
    <vt:lpwstr>{2FCA8E4D-F71C-4842-9466-C441F9C95AC5}</vt:lpwstr>
  </property>
  <property fmtid="{D5CDD505-2E9C-101B-9397-08002B2CF9AE}" pid="4" name="手动分类 2025/3/6 10:23:33">
    <vt:lpwstr>wang-xiaodong 设置标签级别为：不涉密</vt:lpwstr>
  </property>
</Properties>
</file>